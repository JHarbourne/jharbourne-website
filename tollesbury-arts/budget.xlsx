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Assumptions" sheetId="2" state="visible" r:id="rId4"/>
    <sheet name="Setup Budget" sheetId="3" state="visible" r:id="rId5"/>
    <sheet name="Running Costs" sheetId="4" state="visible" r:id="rId6"/>
    <sheet name="Income" sheetId="5" state="visible" r:id="rId7"/>
    <sheet name="Summary" sheetId="6" state="visible" r:id="rId8"/>
    <sheet name="Tech Stack"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<sst xmlns="http://schemas.openxmlformats.org/spreadsheetml/2006/main" count="399" uniqueCount="365">
  <si>
    <t xml:space="preserve">Tollesbury Arts - Online Gallery</t>
  </si>
  <si>
    <t xml:space="preserve">Budget, tech stack and cost-recovery model</t>
  </si>
  <si>
    <t xml:space="preserve">Prepared 17 August 2026 - all figures ex-VAT</t>
  </si>
  <si>
    <t xml:space="preserve">HOW TO USE THIS WORKBOOK</t>
  </si>
  <si>
    <t xml:space="preserve">Assumptions</t>
  </si>
  <si>
    <t xml:space="preserve">Every input lives here. Change these and the whole workbook updates. Nothing else needs editing.</t>
  </si>
  <si>
    <t xml:space="preserve">Setup Budget</t>
  </si>
  <si>
    <t xml:space="preserve">One-off build cost: labour at market vs community rate, plus non-labour setup items.</t>
  </si>
  <si>
    <t xml:space="preserve">Running Costs</t>
  </si>
  <si>
    <t xml:space="preserve">Annual running cost under three hosting scenarios, side by side.</t>
  </si>
  <si>
    <t xml:space="preserve">Income</t>
  </si>
  <si>
    <t xml:space="preserve">Joining fees plus commission, and the break-even artist count.</t>
  </si>
  <si>
    <t xml:space="preserve">Summary</t>
  </si>
  <si>
    <t xml:space="preserve">Year 1 (grant-funded) and Year 2 onward (self-funding). The bottom line.</t>
  </si>
  <si>
    <t xml:space="preserve">Tech Stack</t>
  </si>
  <si>
    <t xml:space="preserve">The full specification: theme, every plugin, email, and the accounts the CIC must own.</t>
  </si>
  <si>
    <t xml:space="preserve">CELL COLOUR LEGEND</t>
  </si>
  <si>
    <t xml:space="preserve">Blue text</t>
  </si>
  <si>
    <t xml:space="preserve">An input you can change. All of them are on the Assumptions tab.</t>
  </si>
  <si>
    <t xml:space="preserve">Black text</t>
  </si>
  <si>
    <t xml:space="preserve">A calculated figure. Do not overwrite - it will break the model.</t>
  </si>
  <si>
    <t xml:space="preserve">Green text</t>
  </si>
  <si>
    <t xml:space="preserve">Pulled from another tab.</t>
  </si>
  <si>
    <t xml:space="preserve">Yellow fill</t>
  </si>
  <si>
    <t xml:space="preserve">A key assumption or an item you must confirm before relying on it.</t>
  </si>
  <si>
    <t xml:space="preserve">THE HEADLINE CONCLUSIONS</t>
  </si>
  <si>
    <t xml:space="preserve">1.</t>
  </si>
  <si>
    <t xml:space="preserve">Managed UK WordPress hosting costs about the same per year as running your own Lightsail server - so the self-hosting saving is not worth the sysadmin burden, or the risk of the CIC depending on one volunteer.</t>
  </si>
  <si>
    <t xml:space="preserve">2.</t>
  </si>
  <si>
    <t xml:space="preserve">Do NOT put the shop on the same EC2 instance as the wiki. A compromised WooCommerce store must not share a box with anything else, and WooCommerce's cron and PHP tuning can destabilise a wiki.</t>
  </si>
  <si>
    <t xml:space="preserve">3.</t>
  </si>
  <si>
    <t xml:space="preserve">Do NOT run mail from Plesk on an AWS box. AWS blocks outbound port 25 by default and a fresh IP has no sending reputation - order confirmations will land in spam. Use Amazon SES for transactional email and Brevo free for the newsletter.</t>
  </si>
  <si>
    <t xml:space="preserve">4.</t>
  </si>
  <si>
    <t xml:space="preserve">Artist joining fees alone very nearly cover the annual running cost. That is the point of charging them: income does not depend on sales volume, which in year one is unknowable.</t>
  </si>
  <si>
    <t xml:space="preserve">5.</t>
  </si>
  <si>
    <t xml:space="preserve">ONE COMMISSION RATE FOR EVERYONE. This is the big change from the first draft. Two different rates was the only reason we needed the paid Dokan licence at £118/yr - which was eating 65% of the gallery's entire annual margin. A single rate runs on the free version, and the Featured tier sells placement and profile instead of a discount.</t>
  </si>
  <si>
    <t xml:space="preserve">6.</t>
  </si>
  <si>
    <t xml:space="preserve">That one change is worth about £230 a year: the surplus roughly doubles, and break-even drops from 27 artists to around 22 - which is the difference between a launch condition you might miss and one you will clear.</t>
  </si>
  <si>
    <t xml:space="preserve">7.</t>
  </si>
  <si>
    <t xml:space="preserve">It is also easier to explain. 'Everyone pays 12%' survives a village meeting; two tiers with a £400 crossover point does not. Use the sensitivity strip on the Income tab to pick the rate before you commit to it.</t>
  </si>
  <si>
    <t xml:space="preserve">8.</t>
  </si>
  <si>
    <t xml:space="preserve">The build is genuinely worth £5,000-6,500 at market rates. Put that figure in the grant application, then show your community discount as a visible line - funders count it as match funding.</t>
  </si>
  <si>
    <t xml:space="preserve">Blue cells are inputs. Yellow means confirm before you rely on it.</t>
  </si>
  <si>
    <t xml:space="preserve">Currency</t>
  </si>
  <si>
    <t xml:space="preserve">USD to GBP exchange rate</t>
  </si>
  <si>
    <t xml:space="preserve">CONFIRM - several tools are priced in USD. Update this to today's rate.</t>
  </si>
  <si>
    <t xml:space="preserve">Artists and pricing</t>
  </si>
  <si>
    <t xml:space="preserve">Number of participating artists</t>
  </si>
  <si>
    <t xml:space="preserve">Your estimate. Do not launch below the break-even count on the Income tab.</t>
  </si>
  <si>
    <t xml:space="preserve">Proportion choosing the Featured tier</t>
  </si>
  <si>
    <t xml:space="preserve">Artists who want homepage placement and a fuller profile page.</t>
  </si>
  <si>
    <t xml:space="preserve">Featured joining fee (per year)</t>
  </si>
  <si>
    <t xml:space="preserve">Buys placement and profile - NOT a commission discount. That is what keeps us on the free Dokan.</t>
  </si>
  <si>
    <t xml:space="preserve">Standard joining fee (per year)</t>
  </si>
  <si>
    <t xml:space="preserve">Keeps the barrier to entry low but guarantees a floor of income.</t>
  </si>
  <si>
    <t xml:space="preserve">Commission on sales - ONE rate for everyone</t>
  </si>
  <si>
    <t xml:space="preserve">The key change. A single rate runs on free Dokan Lite. Compare: a commercial gallery takes 40-50%.</t>
  </si>
  <si>
    <t xml:space="preserve">Sales</t>
  </si>
  <si>
    <t xml:space="preserve">Estimated annual gross sales</t>
  </si>
  <si>
    <t xml:space="preserve">Deliberately modest for year one. Flex this to test sensitivity.</t>
  </si>
  <si>
    <t xml:space="preserve">Average order value</t>
  </si>
  <si>
    <t xml:space="preserve">Drives the number of transactions, and so the Stripe fixed fees.</t>
  </si>
  <si>
    <t xml:space="preserve">Stripe percentage fee</t>
  </si>
  <si>
    <t xml:space="preserve">Standard UK cards. Source: stripe.com/gb/pricing</t>
  </si>
  <si>
    <t xml:space="preserve">Stripe fixed fee per transaction</t>
  </si>
  <si>
    <t xml:space="preserve">Source: stripe.com/gb/pricing</t>
  </si>
  <si>
    <t xml:space="preserve">Jonathan's fees</t>
  </si>
  <si>
    <t xml:space="preserve">Monthly maintenance retainer</t>
  </si>
  <si>
    <t xml:space="preserve">Your proposal. Market rate for WordPress maintenance is £150-500/month, so this is very generous.</t>
  </si>
  <si>
    <t xml:space="preserve">Day rate - full market</t>
  </si>
  <si>
    <t xml:space="preserve">UK freelance WordPress work runs £40-80/hour. £500/day sits mid-range for ecommerce.</t>
  </si>
  <si>
    <t xml:space="preserve">Day rate - community rate</t>
  </si>
  <si>
    <t xml:space="preserve">Roughly half. This is what to actually invoice if the grant lands.</t>
  </si>
  <si>
    <t xml:space="preserve">Day rate - absolute floor</t>
  </si>
  <si>
    <t xml:space="preserve">Below this you will resent the project by month four. Do not go here.</t>
  </si>
  <si>
    <t xml:space="preserve">Other</t>
  </si>
  <si>
    <t xml:space="preserve">Contingency on running costs</t>
  </si>
  <si>
    <t xml:space="preserve">Price rises, an extra plugin, a domain renewal you forgot. Always carry this.</t>
  </si>
  <si>
    <t xml:space="preserve">Setup Budget - one-off build</t>
  </si>
  <si>
    <t xml:space="preserve">What the build is worth, and what to charge for it</t>
  </si>
  <si>
    <t xml:space="preserve">Labour</t>
  </si>
  <si>
    <t xml:space="preserve">Days</t>
  </si>
  <si>
    <t xml:space="preserve">At market</t>
  </si>
  <si>
    <t xml:space="preserve">Community</t>
  </si>
  <si>
    <t xml:space="preserve">What this covers</t>
  </si>
  <si>
    <t xml:space="preserve">Discovery, scoping and committee workshops</t>
  </si>
  <si>
    <t xml:space="preserve">Agreeing what it is, who does what, and writing it down before a line of code.</t>
  </si>
  <si>
    <t xml:space="preserve">Artist agreement, T&amp;Cs and compliance pages</t>
  </si>
  <si>
    <t xml:space="preserve">The load-bearing document. Agency wording, trust-money clause, 23 items of pre-contract info.</t>
  </si>
  <si>
    <t xml:space="preserve">Server build: WordPress, security, backups, SSL, email deliverability</t>
  </si>
  <si>
    <t xml:space="preserve">Including SES/DKIM/SPF setup so order emails actually arrive.</t>
  </si>
  <si>
    <t xml:space="preserve">Theme build and design to match tollesbury.arts</t>
  </si>
  <si>
    <t xml:space="preserve">Gallery and artist page templates, product layout, mobile. The bit people judge you on.</t>
  </si>
  <si>
    <t xml:space="preserve">WooCommerce and Dokan config: commission tiers, shipping bands, payouts</t>
  </si>
  <si>
    <t xml:space="preserve">Two commission tiers, gallery-wide flat postage bands, quarterly payout reporting.</t>
  </si>
  <si>
    <t xml:space="preserve">Stripe, checkout, order workflow and end-to-end testing</t>
  </si>
  <si>
    <t xml:space="preserve">Including test purchases, refund path, and the cancellation flow.</t>
  </si>
  <si>
    <t xml:space="preserve">Artist onboarding: 30 listings, photo guidance, data-entry process</t>
  </si>
  <si>
    <t xml:space="preserve">The artists do not log in - a volunteer lists on their behalf. This is that setup.</t>
  </si>
  <si>
    <t xml:space="preserve">PWA integration, launch, volunteer training and documentation</t>
  </si>
  <si>
    <t xml:space="preserve">Linking tollesbury.app across, and training whoever runs orders day to day.</t>
  </si>
  <si>
    <t xml:space="preserve">Total labour</t>
  </si>
  <si>
    <t xml:space="preserve">Non-labour setup</t>
  </si>
  <si>
    <t xml:space="preserve">Cost</t>
  </si>
  <si>
    <t xml:space="preserve">Note</t>
  </si>
  <si>
    <t xml:space="preserve">CIC incorporation fee</t>
  </si>
  <si>
    <t xml:space="preserve">CONFIRM with Companies House - the CIC fee differs from a standard Ltd.</t>
  </si>
  <si>
    <t xml:space="preserve">Independent legal review of the artist agreement</t>
  </si>
  <si>
    <t xml:space="preserve">Optional but worth it. This document carries the VAT, FCA and consumer-law positions.</t>
  </si>
  <si>
    <t xml:space="preserve">Product photography kit (light tent, backdrop, tripod)</t>
  </si>
  <si>
    <t xml:space="preserve">Consistent white-background shots are what make a small gallery look professional.</t>
  </si>
  <si>
    <t xml:space="preserve">Theme licence (Blocksy Pro) - optional</t>
  </si>
  <si>
    <t xml:space="preserve">Start on the free version. Only buy if you actually hit a limit.</t>
  </si>
  <si>
    <t xml:space="preserve">Total non-labour</t>
  </si>
  <si>
    <t xml:space="preserve">The invoice - how to present it</t>
  </si>
  <si>
    <t xml:space="preserve">Full market value of the build</t>
  </si>
  <si>
    <t xml:space="preserve">Use THIS number in the grant application. It is the honest value of the work.</t>
  </si>
  <si>
    <t xml:space="preserve">Less: community contribution (your discount)</t>
  </si>
  <si>
    <t xml:space="preserve">Show it as a visible line. Funders count it as match funding, and it stops the committee anchoring on the low number forever.</t>
  </si>
  <si>
    <t xml:space="preserve">PAYABLE - community rate</t>
  </si>
  <si>
    <t xml:space="preserve">For reference: at your absolute floor day rate</t>
  </si>
  <si>
    <t xml:space="preserve">Do not go here. You would be donating around 12 days of skilled work.</t>
  </si>
  <si>
    <t xml:space="preserve">Payment terms to insist on</t>
  </si>
  <si>
    <t xml:space="preserve">- 40% on signature, 30% at design sign-off, 30% at launch. Never build on a promise.</t>
  </si>
  <si>
    <t xml:space="preserve">- Make the contract CONDITIONAL ON GRANT AWARD. If the money does not land, nobody owes anybody anything.</t>
  </si>
  <si>
    <t xml:space="preserve">- Itemise the community contribution on every invoice so its value stays visible.</t>
  </si>
  <si>
    <t xml:space="preserve">- If you are a CIC director, the board must approve your contract with you abstaining, minute it, and disclose it in the annual CIC34 report. Cleanest: do not be a director, just a contractor.</t>
  </si>
  <si>
    <t xml:space="preserve">Annual Running Costs</t>
  </si>
  <si>
    <t xml:space="preserve">Three hosting scenarios, everything else held equal</t>
  </si>
  <si>
    <t xml:space="preserve">Cost item</t>
  </si>
  <si>
    <t xml:space="preserve">A: Managed UK</t>
  </si>
  <si>
    <t xml:space="preserve">B: Lightsail 2GB</t>
  </si>
  <si>
    <t xml:space="preserve">C: Lightsail 4GB</t>
  </si>
  <si>
    <t xml:space="preserve">Hosting / server</t>
  </si>
  <si>
    <t xml:space="preserve">A: managed WordPress host at ~£15/mo, backups and updates included. B/C: Lightsail bundle, fixed price.</t>
  </si>
  <si>
    <t xml:space="preserve">Server snapshots / offsite backup</t>
  </si>
  <si>
    <t xml:space="preserve">Included in managed hosting. On Lightsail you pay for automatic snapshots.</t>
  </si>
  <si>
    <t xml:space="preserve">Control panel (Plesk)</t>
  </si>
  <si>
    <t xml:space="preserve">You need NONE. Plesk is £8-15/mo and buys you nothing here. Use the Bitnami image or plain Ubuntu.</t>
  </si>
  <si>
    <t xml:space="preserve">Domain: tollesbury.arts</t>
  </si>
  <si>
    <t xml:space="preserve">CONFIRM your actual renewal price - novelty TLDs renew far above the intro rate.</t>
  </si>
  <si>
    <t xml:space="preserve">Domain: tollesbury.app</t>
  </si>
  <si>
    <t xml:space="preserve">Dokan Lite (multi-vendor)</t>
  </si>
  <si>
    <t xml:space="preserve">FREE. Starter at $149/yr buys per-vendor commission rates - which a single rate makes unnecessary. VERIFY with Dokan pre-sales that Lite does one global rate before relying on this.</t>
  </si>
  <si>
    <t xml:space="preserve">Image optimisation (ShortPixel)</t>
  </si>
  <si>
    <t xml:space="preserve">An art site is nothing but large images. Worth paying for.</t>
  </si>
  <si>
    <t xml:space="preserve">Transactional email (Amazon SES)</t>
  </si>
  <si>
    <t xml:space="preserve">$0.10 per 1,000 emails. No branding. This is your order confirmations - it must not go to spam.</t>
  </si>
  <si>
    <t xml:space="preserve">Newsletter (Brevo free tier)</t>
  </si>
  <si>
    <t xml:space="preserve">300 emails/day free, ~9,000/month. Plenty. Note: free tier adds Brevo branding, so keep it off order emails.</t>
  </si>
  <si>
    <t xml:space="preserve">Social scheduling (Buffer free tier)</t>
  </si>
  <si>
    <t xml:space="preserve">Free: 3 channels, 10 queued posts each. Enough to start. Paid is ~$6/channel/mo if outgrown.</t>
  </si>
  <si>
    <t xml:space="preserve">Mailboxes (Zoho Mail Lite x3 users)</t>
  </si>
  <si>
    <t xml:space="preserve">~£1/user/mo. Zoho's free tier does 5 users on a custom domain but is webmail-only.</t>
  </si>
  <si>
    <t xml:space="preserve">ICO data protection fee</t>
  </si>
  <si>
    <t xml:space="preserve">Tier 1, £52 less the £5 direct-debit discount. You are storing customer addresses, so this applies.</t>
  </si>
  <si>
    <t xml:space="preserve">SMS order alerts to artists</t>
  </si>
  <si>
    <t xml:space="preserve">Essential. These artists do not read email - if you rely on email, sales will not get posted.</t>
  </si>
  <si>
    <t xml:space="preserve">Uptime monitoring, password vault, SSL</t>
  </si>
  <si>
    <t xml:space="preserve">UptimeRobot free, Bitwarden free, Let's Encrypt free.</t>
  </si>
  <si>
    <t xml:space="preserve">Subtotal - infrastructure and tools</t>
  </si>
  <si>
    <t xml:space="preserve">Contingency</t>
  </si>
  <si>
    <t xml:space="preserve">Price rises and the plugin you did not know you needed.</t>
  </si>
  <si>
    <t xml:space="preserve">Stripe processing fees</t>
  </si>
  <si>
    <t xml:space="preserve">From the Income tab. Recommendation: the artist agreement should deduct these from the artist's proceeds alongside commission.</t>
  </si>
  <si>
    <t xml:space="preserve">Jonathan - maintenance retainer</t>
  </si>
  <si>
    <t xml:space="preserve">Your £50/month. Covers updates, backups checks, security, small changes.</t>
  </si>
  <si>
    <t xml:space="preserve">TOTAL ANNUAL RUNNING COST</t>
  </si>
  <si>
    <t xml:space="preserve">Monthly equivalent</t>
  </si>
  <si>
    <t xml:space="preserve">Which scenario, and why</t>
  </si>
  <si>
    <t xml:space="preserve">- RECOMMENDED: Scenario A, managed UK WordPress hosting. It costs within a few pounds a year of running your own Lightsail box, but the host handles updates, backups, security patching and support - so the CIC is not one volunteer's holiday away from a dead shop.</t>
  </si>
  <si>
    <t xml:space="preserve">- If you do self-host, use LIGHTSAIL, not EC2. Lightsail bundles instance, storage and 3TB of data transfer into one fixed monthly price. That is precisely the fix for your $26-to-$65 problem: EC2's headline price excludes the EBS volume, snapshots, the now-chargeable public IPv4 address, data egress, Route 53 zones and CloudWatch.</t>
  </si>
  <si>
    <t xml:space="preserve">- Open the server in the CIC'S OWN AWS or hosting account, not yours. They pay the provider directly, you hold admin access. You should never be fronting their infrastructure bills on a personal card.</t>
  </si>
  <si>
    <t xml:space="preserve">- Scenario C (4GB) only if Dokan plus 30 vendors and heavy image traffic actually needs it. Start at 2GB or managed, and measure before upgrading.</t>
  </si>
  <si>
    <t xml:space="preserve">Income and Break-even</t>
  </si>
  <si>
    <t xml:space="preserve">Driven entirely by the Assumptions tab</t>
  </si>
  <si>
    <t xml:space="preserve">Transaction volume</t>
  </si>
  <si>
    <t xml:space="preserve">Number of orders</t>
  </si>
  <si>
    <t xml:space="preserve">Gross sales divided by average order value.</t>
  </si>
  <si>
    <t xml:space="preserve">Stripe fees on all sales</t>
  </si>
  <si>
    <t xml:space="preserve">1.5% plus 20p per order. Feeds through to the Running Costs tab.</t>
  </si>
  <si>
    <t xml:space="preserve">Joining fees - the income floor</t>
  </si>
  <si>
    <t xml:space="preserve">Featured-tier artists</t>
  </si>
  <si>
    <t xml:space="preserve">Standard-tier artists</t>
  </si>
  <si>
    <t xml:space="preserve">Featured joining fee income</t>
  </si>
  <si>
    <t xml:space="preserve">Standard joining fee income</t>
  </si>
  <si>
    <t xml:space="preserve">Total joining fees</t>
  </si>
  <si>
    <t xml:space="preserve">This arrives whether or not anything sells. It is why you charge it.</t>
  </si>
  <si>
    <t xml:space="preserve">Commission - one rate for everyone</t>
  </si>
  <si>
    <t xml:space="preserve">Commission on all sales</t>
  </si>
  <si>
    <t xml:space="preserve">A single rate is what keeps this on the FREE Dokan Lite and saves £118 a year.</t>
  </si>
  <si>
    <t xml:space="preserve">TOTAL INCOME</t>
  </si>
  <si>
    <t xml:space="preserve">The number a sceptical artist will work out for themselves</t>
  </si>
  <si>
    <t xml:space="preserve">Effective total take, as a % of sales</t>
  </si>
  <si>
    <t xml:space="preserve">Joining fees PLUS commission, over gross sales. At low sales volume this is much higher than the headline commission rate - be ready for the question.</t>
  </si>
  <si>
    <t xml:space="preserve">Sales needed for effective take to fall below 20%</t>
  </si>
  <si>
    <t xml:space="preserve">The joining fee is fixed, so the more the gallery sells, the better the deal looks. Say this out loud at the artists' meeting.</t>
  </si>
  <si>
    <t xml:space="preserve">Break-even</t>
  </si>
  <si>
    <t xml:space="preserve">Annual running cost (Scenario A)</t>
  </si>
  <si>
    <t xml:space="preserve">Surplus / (deficit)</t>
  </si>
  <si>
    <t xml:space="preserve">Average income per artist</t>
  </si>
  <si>
    <t xml:space="preserve">Artists needed to break even</t>
  </si>
  <si>
    <t xml:space="preserve">Make this your launch condition. Below it, the project does not pay for itself.</t>
  </si>
  <si>
    <t xml:space="preserve">Reading this honestly</t>
  </si>
  <si>
    <t xml:space="preserve">- Income is far more sensitive to ARTIST COUNT than to sales volume, because joining fees do most of the work. Recruiting artists is the job, not marketing to buyers.</t>
  </si>
  <si>
    <t xml:space="preserve">- If sales are zero, joining fees still cover most of the running cost. If artists are few, nothing saves you. Plan accordingly.</t>
  </si>
  <si>
    <t xml:space="preserve">- Year one should be grant-funded so the fee structure only has to work from year two, once you know real numbers.</t>
  </si>
  <si>
    <t xml:space="preserve">Year 1 grant-funded, Year 2 onward self-funding</t>
  </si>
  <si>
    <t xml:space="preserve">Item</t>
  </si>
  <si>
    <t xml:space="preserve">Year 1</t>
  </si>
  <si>
    <t xml:space="preserve">Year 2+</t>
  </si>
  <si>
    <t xml:space="preserve">Build cost payable to Jonathan (community rate)</t>
  </si>
  <si>
    <t xml:space="preserve">One-off. Grant-funded, and conditional on the grant landing.</t>
  </si>
  <si>
    <t xml:space="preserve">Includes your £50/month retainer and contingency.</t>
  </si>
  <si>
    <t xml:space="preserve">TOTAL COST</t>
  </si>
  <si>
    <t xml:space="preserve">Grant funding sought (Taylor Fund and others)</t>
  </si>
  <si>
    <t xml:space="preserve">Ask for the FULL year-one cost including the first year's running. Do not ask for just the build.</t>
  </si>
  <si>
    <t xml:space="preserve">Artist joining fees and commission</t>
  </si>
  <si>
    <t xml:space="preserve">Waive fees in year one as a launch incentive - it gets you to 30 artists far faster.</t>
  </si>
  <si>
    <t xml:space="preserve">SURPLUS / (DEFICIT)</t>
  </si>
  <si>
    <t xml:space="preserve">What Jonathan receives</t>
  </si>
  <si>
    <t xml:space="preserve">Build fee (one-off, community rate)</t>
  </si>
  <si>
    <t xml:space="preserve">Maintenance retainer</t>
  </si>
  <si>
    <t xml:space="preserve">Note: under £1,000/yr may fall inside HMRC's trading allowance if you have no other self-employment income. Check with an accountant.</t>
  </si>
  <si>
    <t xml:space="preserve">Total to Jonathan</t>
  </si>
  <si>
    <t xml:space="preserve">Value donated to the community</t>
  </si>
  <si>
    <t xml:space="preserve">Put this on the invoice and in the grant application. It is real, and it counts.</t>
  </si>
  <si>
    <t xml:space="preserve">Why one commission rate - the change that pays for itself</t>
  </si>
  <si>
    <t xml:space="preserve">Two rates</t>
  </si>
  <si>
    <t xml:space="preserve">One rate</t>
  </si>
  <si>
    <t xml:space="preserve">Superseded blended commission rate</t>
  </si>
  <si>
    <t xml:space="preserve">The old model's 5% / 15% split worked out at 9.5% blended.</t>
  </si>
  <si>
    <t xml:space="preserve">Commission income</t>
  </si>
  <si>
    <t xml:space="preserve">Joining fees</t>
  </si>
  <si>
    <t xml:space="preserve">Unchanged - the Featured tier still costs £60, it just buys placement instead of a discount.</t>
  </si>
  <si>
    <t xml:space="preserve">Total income</t>
  </si>
  <si>
    <t xml:space="preserve">Dokan licence</t>
  </si>
  <si>
    <t xml:space="preserve">Starter at $149/yr, plus its share of contingency. Lite is free.</t>
  </si>
  <si>
    <t xml:space="preserve">All other running costs</t>
  </si>
  <si>
    <t xml:space="preserve">Total cost</t>
  </si>
  <si>
    <t xml:space="preserve">SURPLUS</t>
  </si>
  <si>
    <t xml:space="preserve">Gain from switching</t>
  </si>
  <si>
    <t xml:space="preserve">Per year, every year. Plus one fewer licence to renew and one fewer thing to explain to artists.</t>
  </si>
  <si>
    <t xml:space="preserve">Picking the rate - sensitivity</t>
  </si>
  <si>
    <t xml:space="preserve">Surplus</t>
  </si>
  <si>
    <t xml:space="preserve">Effective take on artists</t>
  </si>
  <si>
    <t xml:space="preserve">Effective take counts joining fees AND commission over gross sales - the sum a sceptical artist will do. It looks high at £4,000 of turnover because the fixed joining fee is spread over few sales; it falls fast as sales grow. 12% is highlighted as the recommended balance: it roughly doubles the surplus versus the old model while staying far below the 40-50% a commercial gallery takes.</t>
  </si>
  <si>
    <t xml:space="preserve">Decisions still open</t>
  </si>
  <si>
    <t xml:space="preserve">- DOMAINS: you want control, funders want the CIC to own its assets. Resolution - keep ownership, grant the CIC a written royalty-free licence, with a clause transferring the domains to them free of charge on request or if you step down. That satisfies both. Do not sell them - it creates a taxable transaction for the sake of £50.</t>
  </si>
  <si>
    <t xml:space="preserve">- ACCOUNTS: Stripe, AWS/hosting, Brevo, Buffer, Google Analytics must ALL be in the CIC's name, with credentials in a shared vault and two committee members holding recovery access. This is the single thing that prevents the classic 'the chap who ran our website moved away' disaster.</t>
  </si>
  <si>
    <t xml:space="preserve">- ORDER ADMIN: a named volunteer must handle orders and ring artists. Not you. Make it a condition of the build.</t>
  </si>
  <si>
    <t xml:space="preserve">- LAUNCH GATE: do not go live below the break-even artist count on the Income tab.</t>
  </si>
  <si>
    <t xml:space="preserve">Tech Stack Specification</t>
  </si>
  <si>
    <t xml:space="preserve">Everything that gets installed, and what it costs</t>
  </si>
  <si>
    <t xml:space="preserve">Foundation</t>
  </si>
  <si>
    <t xml:space="preserve">Choice</t>
  </si>
  <si>
    <t xml:space="preserve">£/year</t>
  </si>
  <si>
    <t xml:space="preserve">Why</t>
  </si>
  <si>
    <t xml:space="preserve">CMS</t>
  </si>
  <si>
    <t xml:space="preserve">WordPress</t>
  </si>
  <si>
    <t xml:space="preserve">You already know it. Full design control, no platform cut, the CIC owns its data.</t>
  </si>
  <si>
    <t xml:space="preserve">Shop</t>
  </si>
  <si>
    <t xml:space="preserve">WooCommerce</t>
  </si>
  <si>
    <t xml:space="preserve">Unique artworks work fine as stock-of-1 products.</t>
  </si>
  <si>
    <t xml:space="preserve">Theme</t>
  </si>
  <si>
    <t xml:space="preserve">Blocksy (free)</t>
  </si>
  <si>
    <t xml:space="preserve">Image-forward, fast, block-editor native, genuinely good WooCommerce integration. Kadence is an equally good alternative.</t>
  </si>
  <si>
    <t xml:space="preserve">Theme - do NOT use</t>
  </si>
  <si>
    <t xml:space="preserve">ThemeForest 'art gallery' themes</t>
  </si>
  <si>
    <t xml:space="preserve">avoid</t>
  </si>
  <si>
    <t xml:space="preserve">Bloated, poorly maintained, and they lock the CIC into a dead codebase. This matters more than the £40 you save.</t>
  </si>
  <si>
    <t xml:space="preserve">Multi-vendor</t>
  </si>
  <si>
    <t xml:space="preserve">Dokan Lite (free)</t>
  </si>
  <si>
    <t xml:space="preserve">Each artist gets an isolated store, own products, own orders, no visibility of anyone else's. Free version is enough because we run ONE commission rate.</t>
  </si>
  <si>
    <t xml:space="preserve">Multi-vendor - if you change tack</t>
  </si>
  <si>
    <t xml:space="preserve">Dokan Starter, $149/yr</t>
  </si>
  <si>
    <t xml:space="preserve">Only needed for PER-VENDOR commission rates. Verify with Dokan pre-sales that Lite does a single global rate before you rely on the free tier.</t>
  </si>
  <si>
    <t xml:space="preserve">Payments</t>
  </si>
  <si>
    <t xml:space="preserve">Gateway</t>
  </si>
  <si>
    <t xml:space="preserve">Stripe for WooCommerce (official)</t>
  </si>
  <si>
    <t xml:space="preserve">1.5% + 20p on UK cards. Hosted fields, so PCI stays at SAQ A.</t>
  </si>
  <si>
    <t xml:space="preserve">Do NOT build</t>
  </si>
  <si>
    <t xml:space="preserve">Custom card form</t>
  </si>
  <si>
    <t xml:space="preserve">It drags you into full PCI DSS scope for no benefit whatsoever.</t>
  </si>
  <si>
    <t xml:space="preserve">Payouts</t>
  </si>
  <si>
    <t xml:space="preserve">Manual bank transfer, quarterly</t>
  </si>
  <si>
    <t xml:space="preserve">Matches how the local physical gallery already works, and the artists understand it. No Stripe Connect onboarding to lose people to.</t>
  </si>
  <si>
    <t xml:space="preserve">Email - two separate jobs, do not confuse them</t>
  </si>
  <si>
    <t xml:space="preserve">Transactional (orders)</t>
  </si>
  <si>
    <t xml:space="preserve">Amazon SES + FluentSMTP</t>
  </si>
  <si>
    <t xml:space="preserve">£0.08 per 1,000. No branding. This is order confirmations - if they hit spam you have no business.</t>
  </si>
  <si>
    <t xml:space="preserve">Newsletter</t>
  </si>
  <si>
    <t xml:space="preserve">Brevo free tier</t>
  </si>
  <si>
    <t xml:space="preserve">300/day, ~9,000/month. Keep it OFF order emails: the free tier stamps Brevo branding on everything.</t>
  </si>
  <si>
    <t xml:space="preserve">Mailboxes</t>
  </si>
  <si>
    <t xml:space="preserve">Zoho Mail Lite x3</t>
  </si>
  <si>
    <t xml:space="preserve">info@, sales@, treasurer@. ~£1/user/mo. Free tier does 5 users but webmail-only.</t>
  </si>
  <si>
    <t xml:space="preserve">Do NOT use</t>
  </si>
  <si>
    <t xml:space="preserve">Plesk mail on AWS</t>
  </si>
  <si>
    <t xml:space="preserve">AWS blocks outbound port 25 by default and needs a support request plus reverse DNS. A fresh IP has no sending reputation. Not worth it.</t>
  </si>
  <si>
    <t xml:space="preserve">Operations</t>
  </si>
  <si>
    <t xml:space="preserve">Security</t>
  </si>
  <si>
    <t xml:space="preserve">Wordfence Free</t>
  </si>
  <si>
    <t xml:space="preserve">Firewall and malware scanning. Adequate at this scale.</t>
  </si>
  <si>
    <t xml:space="preserve">Backups</t>
  </si>
  <si>
    <t xml:space="preserve">Host backups + UpdraftPlus</t>
  </si>
  <si>
    <t xml:space="preserve">Test a restore once. An untested backup is not a backup.</t>
  </si>
  <si>
    <t xml:space="preserve">Caching</t>
  </si>
  <si>
    <t xml:space="preserve">Host cache or LiteSpeed Cache</t>
  </si>
  <si>
    <t xml:space="preserve">Free. Only buy WP Rocket if the host gives you nothing.</t>
  </si>
  <si>
    <t xml:space="preserve">Images</t>
  </si>
  <si>
    <t xml:space="preserve">ShortPixel</t>
  </si>
  <si>
    <t xml:space="preserve">An art site is nothing but big images. This is the one paid plugin that always earns back.</t>
  </si>
  <si>
    <t xml:space="preserve">SEO</t>
  </si>
  <si>
    <t xml:space="preserve">Rank Math Free</t>
  </si>
  <si>
    <t xml:space="preserve">Local search matters more than you think for a village trail.</t>
  </si>
  <si>
    <t xml:space="preserve">Forms</t>
  </si>
  <si>
    <t xml:space="preserve">Fluent Forms Free</t>
  </si>
  <si>
    <t xml:space="preserve">The artist submission form - a volunteer types listings from these.</t>
  </si>
  <si>
    <t xml:space="preserve">Cookie consent</t>
  </si>
  <si>
    <t xml:space="preserve">CookieYes or Complianz Free</t>
  </si>
  <si>
    <t xml:space="preserve">Required, and free.</t>
  </si>
  <si>
    <t xml:space="preserve">Invoices</t>
  </si>
  <si>
    <t xml:space="preserve">WooCommerce PDF Invoices</t>
  </si>
  <si>
    <t xml:space="preserve">Packing slips and invoices. The volunteer will thank you.</t>
  </si>
  <si>
    <t xml:space="preserve">SMS alerts</t>
  </si>
  <si>
    <t xml:space="preserve">Twilio or Brevo SMS credits</t>
  </si>
  <si>
    <t xml:space="preserve">CRITICAL. Your artists do not read email. Without this, orders silently never get posted.</t>
  </si>
  <si>
    <t xml:space="preserve">Monitoring</t>
  </si>
  <si>
    <t xml:space="preserve">UptimeRobot Free</t>
  </si>
  <si>
    <t xml:space="preserve">Tells you the shop is down before a buyer does.</t>
  </si>
  <si>
    <t xml:space="preserve">Passwords</t>
  </si>
  <si>
    <t xml:space="preserve">Bitwarden Free</t>
  </si>
  <si>
    <t xml:space="preserve">Shared vault. Two committee members hold recovery access. Non-negotiable.</t>
  </si>
  <si>
    <t xml:space="preserve">Accounts the CIC must own in its own name</t>
  </si>
  <si>
    <t xml:space="preserve">Stripe</t>
  </si>
  <si>
    <t xml:space="preserve">CIC's own account</t>
  </si>
  <si>
    <t xml:space="preserve">Merchant of record must be the CIC. Never your personal account - it becomes your taxable income.</t>
  </si>
  <si>
    <t xml:space="preserve">Hosting / AWS</t>
  </si>
  <si>
    <t xml:space="preserve">They pay the provider directly. You hold admin access, not the credit card.</t>
  </si>
  <si>
    <t xml:space="preserve">Brevo</t>
  </si>
  <si>
    <t xml:space="preserve">Yes, separate from yours. Same reason as everything else here.</t>
  </si>
  <si>
    <t xml:space="preserve">Buffer</t>
  </si>
  <si>
    <t xml:space="preserve">Free tier: 3 channels, 10 queued posts each. Enough to start.</t>
  </si>
  <si>
    <t xml:space="preserve">Analytics</t>
  </si>
  <si>
    <t xml:space="preserve">CIC's own GA4 or Plausible</t>
  </si>
  <si>
    <t xml:space="preserve">Grant reports will ask for visitor numbers. Set it up on day one.</t>
  </si>
  <si>
    <t xml:space="preserve">Domains</t>
  </si>
  <si>
    <t xml:space="preserve">Licensed from you, transferable</t>
  </si>
  <si>
    <t xml:space="preserve">See the Summary tab - keep ownership, licence to them, with a transfer-on-request clause.</t>
  </si>
  <si>
    <t xml:space="preserve">Explicitly rejected</t>
  </si>
  <si>
    <t xml:space="preserve">Same EC2 box as the wiki</t>
  </si>
  <si>
    <t xml:space="preserve">Rejected</t>
  </si>
  <si>
    <t xml:space="preserve">-</t>
  </si>
  <si>
    <t xml:space="preserve">A compromised shop must not share a server with anything else, and WooCommerce cron/PHP tuning can destabilise the wiki.</t>
  </si>
  <si>
    <t xml:space="preserve">Raw EC2 for the shop</t>
  </si>
  <si>
    <t xml:space="preserve">This is your $26-to-$65 problem: the headline price excludes EBS, snapshots, the chargeable IPv4 address, egress, Route 53 and CloudWatch.</t>
  </si>
  <si>
    <t xml:space="preserve">Stripe Connect at launch</t>
  </si>
  <si>
    <t xml:space="preserve">Deferred</t>
  </si>
  <si>
    <t xml:space="preserve">Technically the better answer, but every artist must onboard with bank details and ID. You would lose a third of them. Revisit at volume.</t>
  </si>
  <si>
    <t xml:space="preserve">Shopify</t>
  </si>
  <si>
    <t xml:space="preserve">Rejected, but note it</t>
  </si>
  <si>
    <t xml:space="preserve">£19/mo plus 2% + 25p, and weak multi-vendor. Genuinely safer if you ever want to hand this over and walk away.</t>
  </si>
  <si>
    <t xml:space="preserve">Artists managing own listings</t>
  </si>
  <si>
    <t xml:space="preserve">They have no shop, no social media and do not read email. A volunteer lists on their behalf. Dokan still tracks whose piece it is.</t>
  </si>
</sst>
</file>

<file path=xl/styles.xml><?xml version="1.0" encoding="utf-8"?>
<styleSheet xmlns="http://schemas.openxmlformats.org/spreadsheetml/2006/main">
  <numFmts count="8">
    <numFmt numFmtId="164" formatCode="General"/>
    <numFmt numFmtId="165" formatCode="0.000"/>
    <numFmt numFmtId="166" formatCode="#,##0"/>
    <numFmt numFmtId="167" formatCode="0.0%"/>
    <numFmt numFmtId="168" formatCode="\£#,##0;&quot;(£&quot;#,##0\);\-"/>
    <numFmt numFmtId="169" formatCode="\£#,##0.00;&quot;(£&quot;#,##0.00\);\-"/>
    <numFmt numFmtId="170" formatCode="0.0"/>
    <numFmt numFmtId="171" formatCode="#,##0.0"/>
  </numFmts>
  <fonts count="15">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1"/>
      <color rgb="FF595959"/>
      <name val="Arial"/>
      <family val="0"/>
      <charset val="1"/>
    </font>
    <font>
      <i val="true"/>
      <sz val="9"/>
      <color rgb="FF595959"/>
      <name val="Arial"/>
      <family val="0"/>
      <charset val="1"/>
    </font>
    <font>
      <b val="true"/>
      <sz val="10"/>
      <color rgb="FF1F3864"/>
      <name val="Arial"/>
      <family val="0"/>
      <charset val="1"/>
    </font>
    <font>
      <b val="true"/>
      <sz val="10"/>
      <name val="Arial"/>
      <family val="0"/>
      <charset val="1"/>
    </font>
    <font>
      <sz val="10"/>
      <name val="Arial"/>
      <family val="0"/>
      <charset val="1"/>
    </font>
    <font>
      <sz val="10"/>
      <color rgb="FF0000FF"/>
      <name val="Arial"/>
      <family val="0"/>
      <charset val="1"/>
    </font>
    <font>
      <sz val="10"/>
      <color rgb="FF000000"/>
      <name val="Arial"/>
      <family val="0"/>
      <charset val="1"/>
    </font>
    <font>
      <sz val="10"/>
      <color rgb="FF008000"/>
      <name val="Arial"/>
      <family val="0"/>
      <charset val="1"/>
    </font>
    <font>
      <b val="true"/>
      <sz val="12"/>
      <color rgb="FFFFFFFF"/>
      <name val="Arial"/>
      <family val="0"/>
      <charset val="1"/>
    </font>
    <font>
      <b val="true"/>
      <sz val="11"/>
      <color rgb="FF1F3864"/>
      <name val="Arial"/>
      <family val="0"/>
      <charset val="1"/>
    </font>
  </fonts>
  <fills count="7">
    <fill>
      <patternFill patternType="none"/>
    </fill>
    <fill>
      <patternFill patternType="gray125"/>
    </fill>
    <fill>
      <patternFill patternType="solid">
        <fgColor rgb="FFFFFF00"/>
        <bgColor rgb="FFFFFF00"/>
      </patternFill>
    </fill>
    <fill>
      <patternFill patternType="solid">
        <fgColor rgb="FF1F3864"/>
        <bgColor rgb="FF333333"/>
      </patternFill>
    </fill>
    <fill>
      <patternFill patternType="solid">
        <fgColor rgb="FFFCE4D6"/>
        <bgColor rgb="FFE2EFDA"/>
      </patternFill>
    </fill>
    <fill>
      <patternFill patternType="solid">
        <fgColor rgb="FFEDF1F8"/>
        <bgColor rgb="FFE2EFDA"/>
      </patternFill>
    </fill>
    <fill>
      <patternFill patternType="solid">
        <fgColor rgb="FFE2EFDA"/>
        <bgColor rgb="FFEDF1F8"/>
      </patternFill>
    </fill>
  </fills>
  <borders count="2">
    <border diagonalUp="false" diagonalDown="false">
      <left/>
      <right/>
      <top/>
      <bottom/>
      <diagonal/>
    </border>
    <border diagonalUp="false" diagonalDown="false">
      <left/>
      <right/>
      <top style="medium">
        <color rgb="FF1F3864"/>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center" textRotation="0" wrapText="false" indent="0" shrinkToFit="false"/>
      <protection locked="true" hidden="false"/>
    </xf>
    <xf numFmtId="164" fontId="0" fillId="0" borderId="0" xfId="0" applyFont="false" applyBorder="false" applyAlignment="true" applyProtection="false">
      <alignment horizontal="right" vertical="center" textRotation="0" wrapText="false" indent="0" shrinkToFit="false"/>
      <protection locked="true" hidden="false"/>
    </xf>
    <xf numFmtId="164" fontId="0" fillId="0" borderId="0" xfId="0" applyFont="false" applyBorder="false" applyAlignment="true" applyProtection="false">
      <alignment horizontal="left" vertical="center" textRotation="0" wrapText="tru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64" fontId="6" fillId="0" borderId="0" xfId="0" applyFont="true" applyBorder="false" applyAlignment="true" applyProtection="false">
      <alignment horizontal="left" vertical="center" textRotation="0" wrapText="false" indent="0" shrinkToFit="false"/>
      <protection locked="true" hidden="false"/>
    </xf>
    <xf numFmtId="164" fontId="13"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left" vertical="center" textRotation="0" wrapText="false" indent="0" shrinkToFit="false"/>
      <protection locked="true" hidden="false"/>
    </xf>
    <xf numFmtId="164" fontId="0" fillId="3" borderId="0" xfId="0" applyFont="false" applyBorder="false" applyAlignment="true" applyProtection="false">
      <alignment horizontal="right" vertical="center" textRotation="0" wrapText="false" indent="0" shrinkToFit="false"/>
      <protection locked="true" hidden="false"/>
    </xf>
    <xf numFmtId="164" fontId="0" fillId="3" borderId="0" xfId="0" applyFont="false" applyBorder="false" applyAlignment="true" applyProtection="false">
      <alignment horizontal="left" vertical="center" textRotation="0" wrapText="true" indent="0" shrinkToFit="false"/>
      <protection locked="true" hidden="false"/>
    </xf>
    <xf numFmtId="164" fontId="9" fillId="0" borderId="0" xfId="0" applyFont="true" applyBorder="false" applyAlignment="true" applyProtection="false">
      <alignment horizontal="left" vertical="center" textRotation="0" wrapText="false" indent="0" shrinkToFit="false"/>
      <protection locked="true" hidden="false"/>
    </xf>
    <xf numFmtId="165" fontId="10" fillId="2" borderId="0" xfId="0" applyFont="true" applyBorder="false" applyAlignment="true" applyProtection="false">
      <alignment horizontal="right" vertical="center" textRotation="0" wrapText="false" indent="0" shrinkToFit="false"/>
      <protection locked="true" hidden="false"/>
    </xf>
    <xf numFmtId="164" fontId="6" fillId="0" borderId="0" xfId="0" applyFont="true" applyBorder="false" applyAlignment="true" applyProtection="false">
      <alignment horizontal="left" vertical="center" textRotation="0" wrapText="true" indent="0" shrinkToFit="false"/>
      <protection locked="true" hidden="false"/>
    </xf>
    <xf numFmtId="166" fontId="10" fillId="0" borderId="0" xfId="0" applyFont="true" applyBorder="false" applyAlignment="true" applyProtection="false">
      <alignment horizontal="right" vertical="center" textRotation="0" wrapText="false" indent="0" shrinkToFit="false"/>
      <protection locked="true" hidden="false"/>
    </xf>
    <xf numFmtId="167" fontId="10" fillId="0" borderId="0" xfId="0" applyFont="true" applyBorder="false" applyAlignment="true" applyProtection="false">
      <alignment horizontal="right" vertical="center" textRotation="0" wrapText="false" indent="0" shrinkToFit="false"/>
      <protection locked="true" hidden="false"/>
    </xf>
    <xf numFmtId="168" fontId="10" fillId="0" borderId="0" xfId="0" applyFont="true" applyBorder="false" applyAlignment="true" applyProtection="false">
      <alignment horizontal="right" vertical="center" textRotation="0" wrapText="false" indent="0" shrinkToFit="false"/>
      <protection locked="true" hidden="false"/>
    </xf>
    <xf numFmtId="167" fontId="10" fillId="2" borderId="0" xfId="0" applyFont="true" applyBorder="false" applyAlignment="true" applyProtection="false">
      <alignment horizontal="right" vertical="center" textRotation="0" wrapText="false" indent="0" shrinkToFit="false"/>
      <protection locked="true" hidden="false"/>
    </xf>
    <xf numFmtId="168" fontId="10" fillId="2" borderId="0" xfId="0" applyFont="true" applyBorder="false" applyAlignment="true" applyProtection="false">
      <alignment horizontal="right" vertical="center" textRotation="0" wrapText="false" indent="0" shrinkToFit="false"/>
      <protection locked="true" hidden="false"/>
    </xf>
    <xf numFmtId="169" fontId="10" fillId="0" borderId="0" xfId="0" applyFont="true" applyBorder="false" applyAlignment="true" applyProtection="false">
      <alignment horizontal="right" vertical="center" textRotation="0" wrapText="false" indent="0" shrinkToFit="false"/>
      <protection locked="true" hidden="false"/>
    </xf>
    <xf numFmtId="168" fontId="10" fillId="4" borderId="0" xfId="0" applyFont="true" applyBorder="false" applyAlignment="true" applyProtection="false">
      <alignment horizontal="right" vertical="center"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70" fontId="10" fillId="0" borderId="0" xfId="0" applyFont="true" applyBorder="false" applyAlignment="false" applyProtection="false">
      <alignment horizontal="general" vertical="bottom" textRotation="0" wrapText="false" indent="0" shrinkToFit="false"/>
      <protection locked="true" hidden="false"/>
    </xf>
    <xf numFmtId="168" fontId="11"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70" fontId="8" fillId="5" borderId="1" xfId="0" applyFont="true" applyBorder="true" applyAlignment="false" applyProtection="false">
      <alignment horizontal="general" vertical="bottom" textRotation="0" wrapText="false" indent="0" shrinkToFit="false"/>
      <protection locked="true" hidden="false"/>
    </xf>
    <xf numFmtId="168" fontId="8" fillId="5" borderId="1" xfId="0" applyFont="true" applyBorder="true" applyAlignment="false" applyProtection="false">
      <alignment horizontal="general" vertical="bottom" textRotation="0" wrapText="false" indent="0" shrinkToFit="false"/>
      <protection locked="true" hidden="false"/>
    </xf>
    <xf numFmtId="168" fontId="10" fillId="2"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4" fontId="14" fillId="0" borderId="1" xfId="0" applyFont="true" applyBorder="true" applyAlignment="false" applyProtection="false">
      <alignment horizontal="general" vertical="bottom" textRotation="0" wrapText="false" indent="0" shrinkToFit="false"/>
      <protection locked="true" hidden="false"/>
    </xf>
    <xf numFmtId="168" fontId="14" fillId="6" borderId="1" xfId="0" applyFont="true" applyBorder="true" applyAlignment="false" applyProtection="false">
      <alignment horizontal="general" vertical="bottom" textRotation="0" wrapText="false" indent="0" shrinkToFit="false"/>
      <protection locked="true" hidden="false"/>
    </xf>
    <xf numFmtId="168" fontId="6" fillId="4"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3" fillId="3" borderId="0" xfId="0" applyFont="true" applyBorder="false" applyAlignment="true" applyProtection="false">
      <alignment horizontal="center" vertical="bottom" textRotation="0" wrapText="true" indent="0" shrinkToFit="false"/>
      <protection locked="true" hidden="false"/>
    </xf>
    <xf numFmtId="168" fontId="11" fillId="2" borderId="0" xfId="0" applyFont="true" applyBorder="false" applyAlignment="false" applyProtection="false">
      <alignment horizontal="general" vertical="bottom" textRotation="0" wrapText="false" indent="0" shrinkToFit="false"/>
      <protection locked="true" hidden="false"/>
    </xf>
    <xf numFmtId="168" fontId="12" fillId="0" borderId="0" xfId="0" applyFont="true" applyBorder="false" applyAlignment="false" applyProtection="false">
      <alignment horizontal="general" vertical="bottom" textRotation="0" wrapText="fals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71" fontId="11" fillId="0" borderId="0" xfId="0" applyFont="true" applyBorder="false" applyAlignment="false" applyProtection="false">
      <alignment horizontal="general" vertical="bottom" textRotation="0" wrapText="false" indent="0" shrinkToFit="false"/>
      <protection locked="true" hidden="false"/>
    </xf>
    <xf numFmtId="167" fontId="8" fillId="2" borderId="0" xfId="0" applyFont="true" applyBorder="false" applyAlignment="false" applyProtection="false">
      <alignment horizontal="general" vertical="bottom" textRotation="0" wrapText="fals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xf numFmtId="169" fontId="11" fillId="0" borderId="0" xfId="0" applyFont="true" applyBorder="false" applyAlignment="false" applyProtection="false">
      <alignment horizontal="general" vertical="bottom" textRotation="0" wrapText="false" indent="0" shrinkToFit="false"/>
      <protection locked="true" hidden="false"/>
    </xf>
    <xf numFmtId="166" fontId="8" fillId="2" borderId="0" xfId="0" applyFont="true" applyBorder="false" applyAlignment="false" applyProtection="false">
      <alignment horizontal="general" vertical="bottom" textRotation="0" wrapText="false" indent="0" shrinkToFit="false"/>
      <protection locked="true" hidden="false"/>
    </xf>
    <xf numFmtId="164" fontId="13" fillId="3" borderId="0" xfId="0" applyFont="true" applyBorder="false" applyAlignment="true" applyProtection="false">
      <alignment horizontal="center" vertical="bottom" textRotation="0" wrapText="false" indent="0" shrinkToFit="false"/>
      <protection locked="true" hidden="false"/>
    </xf>
    <xf numFmtId="164" fontId="13" fillId="3" borderId="0" xfId="0" applyFont="true" applyBorder="false" applyAlignment="true" applyProtection="false">
      <alignment horizontal="left"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7" fontId="12" fillId="0" borderId="0" xfId="0" applyFont="true" applyBorder="false" applyAlignment="false" applyProtection="false">
      <alignment horizontal="general" vertical="bottom" textRotation="0" wrapText="false" indent="0" shrinkToFit="false"/>
      <protection locked="true" hidden="false"/>
    </xf>
    <xf numFmtId="168" fontId="8" fillId="6"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left"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7" fontId="10" fillId="6" borderId="0" xfId="0" applyFont="true" applyBorder="false" applyAlignment="true" applyProtection="false">
      <alignment horizontal="left" vertical="bottom" textRotation="0" wrapText="false" indent="0" shrinkToFit="false"/>
      <protection locked="true" hidden="false"/>
    </xf>
    <xf numFmtId="168" fontId="11" fillId="6" borderId="0" xfId="0" applyFont="true" applyBorder="false" applyAlignment="false" applyProtection="false">
      <alignment horizontal="general" vertical="bottom" textRotation="0" wrapText="false" indent="0" shrinkToFit="false"/>
      <protection locked="true" hidden="false"/>
    </xf>
    <xf numFmtId="167" fontId="11" fillId="6"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8" fontId="11" fillId="0" borderId="0" xfId="0" applyFont="true" applyBorder="false" applyAlignment="true" applyProtection="false">
      <alignment horizontal="right" vertical="bottom" textRotation="0" wrapText="false" indent="0" shrinkToFit="false"/>
      <protection locked="true" hidden="false"/>
    </xf>
    <xf numFmtId="164" fontId="6" fillId="0" borderId="0" xfId="0" applyFont="true" applyBorder="fals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DF1F8"/>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88"/>
  </cols>
  <sheetData>
    <row r="2" customFormat="false" ht="19.7" hidden="false" customHeight="false" outlineLevel="0" collapsed="false">
      <c r="B2" s="1" t="s">
        <v>0</v>
      </c>
    </row>
    <row r="3" customFormat="false" ht="15" hidden="false" customHeight="false" outlineLevel="0" collapsed="false">
      <c r="B3" s="2" t="s">
        <v>1</v>
      </c>
    </row>
    <row r="4" customFormat="false" ht="15" hidden="false" customHeight="false" outlineLevel="0" collapsed="false">
      <c r="B4" s="3" t="s">
        <v>2</v>
      </c>
    </row>
    <row r="6" customFormat="false" ht="15" hidden="false" customHeight="false" outlineLevel="0" collapsed="false">
      <c r="B6" s="4" t="s">
        <v>3</v>
      </c>
    </row>
    <row r="7" customFormat="false" ht="25.5" hidden="false" customHeight="true" outlineLevel="0" collapsed="false">
      <c r="B7" s="5" t="s">
        <v>4</v>
      </c>
      <c r="C7" s="6" t="s">
        <v>5</v>
      </c>
    </row>
    <row r="8" customFormat="false" ht="25.5" hidden="false" customHeight="true" outlineLevel="0" collapsed="false">
      <c r="B8" s="5" t="s">
        <v>6</v>
      </c>
      <c r="C8" s="6" t="s">
        <v>7</v>
      </c>
    </row>
    <row r="9" customFormat="false" ht="25.5" hidden="false" customHeight="true" outlineLevel="0" collapsed="false">
      <c r="B9" s="5" t="s">
        <v>8</v>
      </c>
      <c r="C9" s="6" t="s">
        <v>9</v>
      </c>
    </row>
    <row r="10" customFormat="false" ht="25.5" hidden="false" customHeight="true" outlineLevel="0" collapsed="false">
      <c r="B10" s="5" t="s">
        <v>10</v>
      </c>
      <c r="C10" s="6" t="s">
        <v>11</v>
      </c>
    </row>
    <row r="11" customFormat="false" ht="25.5" hidden="false" customHeight="true" outlineLevel="0" collapsed="false">
      <c r="B11" s="5" t="s">
        <v>12</v>
      </c>
      <c r="C11" s="6" t="s">
        <v>13</v>
      </c>
    </row>
    <row r="12" customFormat="false" ht="25.5" hidden="false" customHeight="true" outlineLevel="0" collapsed="false">
      <c r="B12" s="5" t="s">
        <v>14</v>
      </c>
      <c r="C12" s="6" t="s">
        <v>15</v>
      </c>
    </row>
    <row r="14" customFormat="false" ht="15" hidden="false" customHeight="false" outlineLevel="0" collapsed="false">
      <c r="B14" s="4" t="s">
        <v>16</v>
      </c>
    </row>
    <row r="15" customFormat="false" ht="15" hidden="false" customHeight="false" outlineLevel="0" collapsed="false">
      <c r="B15" s="7" t="s">
        <v>17</v>
      </c>
      <c r="C15" s="8" t="s">
        <v>18</v>
      </c>
    </row>
    <row r="16" customFormat="false" ht="15" hidden="false" customHeight="false" outlineLevel="0" collapsed="false">
      <c r="B16" s="9" t="s">
        <v>19</v>
      </c>
      <c r="C16" s="8" t="s">
        <v>20</v>
      </c>
    </row>
    <row r="17" customFormat="false" ht="15" hidden="false" customHeight="false" outlineLevel="0" collapsed="false">
      <c r="B17" s="10" t="s">
        <v>21</v>
      </c>
      <c r="C17" s="8" t="s">
        <v>22</v>
      </c>
    </row>
    <row r="18" customFormat="false" ht="15" hidden="false" customHeight="false" outlineLevel="0" collapsed="false">
      <c r="B18" s="11" t="s">
        <v>23</v>
      </c>
      <c r="C18" s="8" t="s">
        <v>24</v>
      </c>
    </row>
    <row r="21" customFormat="false" ht="15" hidden="false" customHeight="false" outlineLevel="0" collapsed="false">
      <c r="B21" s="4" t="s">
        <v>25</v>
      </c>
    </row>
    <row r="22" customFormat="false" ht="30" hidden="false" customHeight="true" outlineLevel="0" collapsed="false">
      <c r="B22" s="5" t="s">
        <v>26</v>
      </c>
      <c r="C22" s="6" t="s">
        <v>27</v>
      </c>
    </row>
    <row r="23" customFormat="false" ht="30" hidden="false" customHeight="true" outlineLevel="0" collapsed="false">
      <c r="B23" s="5" t="s">
        <v>28</v>
      </c>
      <c r="C23" s="6" t="s">
        <v>29</v>
      </c>
    </row>
    <row r="24" customFormat="false" ht="30" hidden="false" customHeight="true" outlineLevel="0" collapsed="false">
      <c r="B24" s="5" t="s">
        <v>30</v>
      </c>
      <c r="C24" s="6" t="s">
        <v>31</v>
      </c>
    </row>
    <row r="25" customFormat="false" ht="30" hidden="false" customHeight="true" outlineLevel="0" collapsed="false">
      <c r="B25" s="5" t="s">
        <v>32</v>
      </c>
      <c r="C25" s="6" t="s">
        <v>33</v>
      </c>
    </row>
    <row r="26" customFormat="false" ht="30" hidden="false" customHeight="true" outlineLevel="0" collapsed="false">
      <c r="B26" s="5" t="s">
        <v>34</v>
      </c>
      <c r="C26" s="6" t="s">
        <v>35</v>
      </c>
    </row>
    <row r="27" customFormat="false" ht="30" hidden="false" customHeight="true" outlineLevel="0" collapsed="false">
      <c r="B27" s="5" t="s">
        <v>36</v>
      </c>
      <c r="C27" s="6" t="s">
        <v>37</v>
      </c>
    </row>
    <row r="28" customFormat="false" ht="30" hidden="false" customHeight="true" outlineLevel="0" collapsed="false">
      <c r="B28" s="5" t="s">
        <v>38</v>
      </c>
      <c r="C28" s="6" t="s">
        <v>39</v>
      </c>
    </row>
    <row r="29" customFormat="false" ht="30" hidden="false" customHeight="true" outlineLevel="0" collapsed="false">
      <c r="B29" s="5" t="s">
        <v>40</v>
      </c>
      <c r="C29" s="6" t="s">
        <v>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3" min="3" style="0" width="14"/>
    <col collapsed="false" customWidth="true" hidden="false" outlineLevel="0" max="4" min="4" style="0" width="62"/>
  </cols>
  <sheetData>
    <row r="1" customFormat="false" ht="15" hidden="false" customHeight="false" outlineLevel="0" collapsed="false">
      <c r="B1" s="12"/>
      <c r="C1" s="13"/>
      <c r="D1" s="14"/>
    </row>
    <row r="2" customFormat="false" ht="19.7" hidden="false" customHeight="false" outlineLevel="0" collapsed="false">
      <c r="B2" s="15" t="s">
        <v>4</v>
      </c>
      <c r="C2" s="13"/>
      <c r="D2" s="14"/>
    </row>
    <row r="3" customFormat="false" ht="15" hidden="false" customHeight="false" outlineLevel="0" collapsed="false">
      <c r="B3" s="16" t="s">
        <v>42</v>
      </c>
      <c r="C3" s="13"/>
      <c r="D3" s="14"/>
    </row>
    <row r="4" customFormat="false" ht="15" hidden="false" customHeight="false" outlineLevel="0" collapsed="false">
      <c r="B4" s="12"/>
      <c r="C4" s="13"/>
      <c r="D4" s="14"/>
    </row>
    <row r="5" customFormat="false" ht="19.5" hidden="false" customHeight="true" outlineLevel="0" collapsed="false">
      <c r="A5" s="17" t="s">
        <v>43</v>
      </c>
      <c r="B5" s="18"/>
      <c r="C5" s="19"/>
      <c r="D5" s="20"/>
    </row>
    <row r="6" customFormat="false" ht="15" hidden="false" customHeight="false" outlineLevel="0" collapsed="false">
      <c r="B6" s="21" t="s">
        <v>44</v>
      </c>
      <c r="C6" s="22" t="n">
        <v>0.79</v>
      </c>
      <c r="D6" s="23" t="s">
        <v>45</v>
      </c>
    </row>
    <row r="7" customFormat="false" ht="15" hidden="false" customHeight="false" outlineLevel="0" collapsed="false">
      <c r="B7" s="12"/>
      <c r="C7" s="13"/>
      <c r="D7" s="14"/>
    </row>
    <row r="8" customFormat="false" ht="19.5" hidden="false" customHeight="true" outlineLevel="0" collapsed="false">
      <c r="A8" s="17" t="s">
        <v>46</v>
      </c>
      <c r="B8" s="18"/>
      <c r="C8" s="19"/>
      <c r="D8" s="20"/>
    </row>
    <row r="9" customFormat="false" ht="15" hidden="false" customHeight="false" outlineLevel="0" collapsed="false">
      <c r="B9" s="21" t="s">
        <v>47</v>
      </c>
      <c r="C9" s="24" t="n">
        <v>30</v>
      </c>
      <c r="D9" s="23" t="s">
        <v>48</v>
      </c>
    </row>
    <row r="10" customFormat="false" ht="15" hidden="false" customHeight="false" outlineLevel="0" collapsed="false">
      <c r="B10" s="21" t="s">
        <v>49</v>
      </c>
      <c r="C10" s="25" t="n">
        <v>0.33</v>
      </c>
      <c r="D10" s="23" t="s">
        <v>50</v>
      </c>
    </row>
    <row r="11" customFormat="false" ht="22.35" hidden="false" customHeight="false" outlineLevel="0" collapsed="false">
      <c r="B11" s="21" t="s">
        <v>51</v>
      </c>
      <c r="C11" s="26" t="n">
        <v>60</v>
      </c>
      <c r="D11" s="23" t="s">
        <v>52</v>
      </c>
    </row>
    <row r="12" customFormat="false" ht="15" hidden="false" customHeight="false" outlineLevel="0" collapsed="false">
      <c r="B12" s="21" t="s">
        <v>53</v>
      </c>
      <c r="C12" s="26" t="n">
        <v>20</v>
      </c>
      <c r="D12" s="23" t="s">
        <v>54</v>
      </c>
    </row>
    <row r="13" customFormat="false" ht="22.35" hidden="false" customHeight="false" outlineLevel="0" collapsed="false">
      <c r="B13" s="21" t="s">
        <v>55</v>
      </c>
      <c r="C13" s="27" t="n">
        <v>0.12</v>
      </c>
      <c r="D13" s="23" t="s">
        <v>56</v>
      </c>
    </row>
    <row r="14" customFormat="false" ht="15" hidden="false" customHeight="false" outlineLevel="0" collapsed="false">
      <c r="B14" s="12"/>
      <c r="C14" s="13"/>
      <c r="D14" s="14"/>
    </row>
    <row r="15" customFormat="false" ht="19.5" hidden="false" customHeight="true" outlineLevel="0" collapsed="false">
      <c r="A15" s="17" t="s">
        <v>57</v>
      </c>
      <c r="B15" s="18"/>
      <c r="C15" s="19"/>
      <c r="D15" s="20"/>
    </row>
    <row r="16" customFormat="false" ht="15" hidden="false" customHeight="false" outlineLevel="0" collapsed="false">
      <c r="B16" s="21" t="s">
        <v>58</v>
      </c>
      <c r="C16" s="28" t="n">
        <v>4000</v>
      </c>
      <c r="D16" s="23" t="s">
        <v>59</v>
      </c>
    </row>
    <row r="17" customFormat="false" ht="15" hidden="false" customHeight="false" outlineLevel="0" collapsed="false">
      <c r="B17" s="21" t="s">
        <v>60</v>
      </c>
      <c r="C17" s="26" t="n">
        <v>150</v>
      </c>
      <c r="D17" s="23" t="s">
        <v>61</v>
      </c>
    </row>
    <row r="18" customFormat="false" ht="15" hidden="false" customHeight="false" outlineLevel="0" collapsed="false">
      <c r="B18" s="21" t="s">
        <v>62</v>
      </c>
      <c r="C18" s="25" t="n">
        <v>0.015</v>
      </c>
      <c r="D18" s="23" t="s">
        <v>63</v>
      </c>
    </row>
    <row r="19" customFormat="false" ht="15" hidden="false" customHeight="false" outlineLevel="0" collapsed="false">
      <c r="B19" s="21" t="s">
        <v>64</v>
      </c>
      <c r="C19" s="29" t="n">
        <v>0.2</v>
      </c>
      <c r="D19" s="23" t="s">
        <v>65</v>
      </c>
    </row>
    <row r="20" customFormat="false" ht="15" hidden="false" customHeight="false" outlineLevel="0" collapsed="false">
      <c r="B20" s="12"/>
      <c r="C20" s="13"/>
      <c r="D20" s="14"/>
    </row>
    <row r="21" customFormat="false" ht="19.5" hidden="false" customHeight="true" outlineLevel="0" collapsed="false">
      <c r="A21" s="17" t="s">
        <v>66</v>
      </c>
      <c r="B21" s="18"/>
      <c r="C21" s="19"/>
      <c r="D21" s="20"/>
    </row>
    <row r="22" customFormat="false" ht="22.35" hidden="false" customHeight="false" outlineLevel="0" collapsed="false">
      <c r="B22" s="21" t="s">
        <v>67</v>
      </c>
      <c r="C22" s="26" t="n">
        <v>50</v>
      </c>
      <c r="D22" s="23" t="s">
        <v>68</v>
      </c>
    </row>
    <row r="23" customFormat="false" ht="22.35" hidden="false" customHeight="false" outlineLevel="0" collapsed="false">
      <c r="B23" s="21" t="s">
        <v>69</v>
      </c>
      <c r="C23" s="26" t="n">
        <v>500</v>
      </c>
      <c r="D23" s="23" t="s">
        <v>70</v>
      </c>
    </row>
    <row r="24" customFormat="false" ht="15" hidden="false" customHeight="false" outlineLevel="0" collapsed="false">
      <c r="B24" s="21" t="s">
        <v>71</v>
      </c>
      <c r="C24" s="26" t="n">
        <v>250</v>
      </c>
      <c r="D24" s="23" t="s">
        <v>72</v>
      </c>
    </row>
    <row r="25" customFormat="false" ht="15" hidden="false" customHeight="false" outlineLevel="0" collapsed="false">
      <c r="B25" s="21" t="s">
        <v>73</v>
      </c>
      <c r="C25" s="30" t="n">
        <v>150</v>
      </c>
      <c r="D25" s="23" t="s">
        <v>74</v>
      </c>
    </row>
    <row r="26" customFormat="false" ht="15" hidden="false" customHeight="false" outlineLevel="0" collapsed="false">
      <c r="B26" s="12"/>
      <c r="C26" s="13"/>
      <c r="D26" s="14"/>
    </row>
    <row r="27" customFormat="false" ht="19.5" hidden="false" customHeight="true" outlineLevel="0" collapsed="false">
      <c r="A27" s="17" t="s">
        <v>75</v>
      </c>
      <c r="B27" s="18"/>
      <c r="C27" s="19"/>
      <c r="D27" s="20"/>
    </row>
    <row r="28" customFormat="false" ht="15" hidden="false" customHeight="false" outlineLevel="0" collapsed="false">
      <c r="B28" s="21" t="s">
        <v>76</v>
      </c>
      <c r="C28" s="25" t="n">
        <v>0.1</v>
      </c>
      <c r="D28" s="23" t="s">
        <v>77</v>
      </c>
    </row>
    <row r="29" customFormat="false" ht="15" hidden="false" customHeight="false" outlineLevel="0" collapsed="false">
      <c r="B29" s="12"/>
      <c r="C29" s="13"/>
      <c r="D29" s="1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F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52"/>
    <col collapsed="false" customWidth="true" hidden="false" outlineLevel="0" max="3" min="3" style="0" width="9"/>
    <col collapsed="false" customWidth="true" hidden="false" outlineLevel="0" max="5" min="4" style="0" width="14"/>
    <col collapsed="false" customWidth="true" hidden="false" outlineLevel="0" max="6" min="6" style="0" width="48"/>
  </cols>
  <sheetData>
    <row r="2" customFormat="false" ht="19.7" hidden="false" customHeight="false" outlineLevel="0" collapsed="false">
      <c r="B2" s="1" t="s">
        <v>78</v>
      </c>
    </row>
    <row r="3" customFormat="false" ht="15" hidden="false" customHeight="false" outlineLevel="0" collapsed="false">
      <c r="B3" s="3" t="s">
        <v>79</v>
      </c>
    </row>
    <row r="5" customFormat="false" ht="19.5" hidden="false" customHeight="true" outlineLevel="0" collapsed="false">
      <c r="A5" s="17" t="s">
        <v>80</v>
      </c>
      <c r="B5" s="31"/>
      <c r="C5" s="17" t="s">
        <v>81</v>
      </c>
      <c r="D5" s="17" t="s">
        <v>82</v>
      </c>
      <c r="E5" s="17" t="s">
        <v>83</v>
      </c>
      <c r="F5" s="17" t="s">
        <v>84</v>
      </c>
    </row>
    <row r="6" customFormat="false" ht="25.5" hidden="false" customHeight="true" outlineLevel="0" collapsed="false">
      <c r="B6" s="8" t="s">
        <v>85</v>
      </c>
      <c r="C6" s="32" t="n">
        <v>1</v>
      </c>
      <c r="D6" s="33" t="n">
        <f aca="false">$C6*Assumptions!$C$23</f>
        <v>500</v>
      </c>
      <c r="E6" s="33" t="n">
        <f aca="false">$C6*Assumptions!$C$24</f>
        <v>250</v>
      </c>
      <c r="F6" s="34" t="s">
        <v>86</v>
      </c>
    </row>
    <row r="7" customFormat="false" ht="25.5" hidden="false" customHeight="true" outlineLevel="0" collapsed="false">
      <c r="B7" s="8" t="s">
        <v>87</v>
      </c>
      <c r="C7" s="32" t="n">
        <v>1.5</v>
      </c>
      <c r="D7" s="33" t="n">
        <f aca="false">$C7*Assumptions!$C$23</f>
        <v>750</v>
      </c>
      <c r="E7" s="33" t="n">
        <f aca="false">$C7*Assumptions!$C$24</f>
        <v>375</v>
      </c>
      <c r="F7" s="34" t="s">
        <v>88</v>
      </c>
    </row>
    <row r="8" customFormat="false" ht="25.5" hidden="false" customHeight="true" outlineLevel="0" collapsed="false">
      <c r="B8" s="8" t="s">
        <v>89</v>
      </c>
      <c r="C8" s="32" t="n">
        <v>1.5</v>
      </c>
      <c r="D8" s="33" t="n">
        <f aca="false">$C8*Assumptions!$C$23</f>
        <v>750</v>
      </c>
      <c r="E8" s="33" t="n">
        <f aca="false">$C8*Assumptions!$C$24</f>
        <v>375</v>
      </c>
      <c r="F8" s="34" t="s">
        <v>90</v>
      </c>
    </row>
    <row r="9" customFormat="false" ht="25.5" hidden="false" customHeight="true" outlineLevel="0" collapsed="false">
      <c r="B9" s="8" t="s">
        <v>91</v>
      </c>
      <c r="C9" s="32" t="n">
        <v>2.5</v>
      </c>
      <c r="D9" s="33" t="n">
        <f aca="false">$C9*Assumptions!$C$23</f>
        <v>1250</v>
      </c>
      <c r="E9" s="33" t="n">
        <f aca="false">$C9*Assumptions!$C$24</f>
        <v>625</v>
      </c>
      <c r="F9" s="34" t="s">
        <v>92</v>
      </c>
    </row>
    <row r="10" customFormat="false" ht="25.5" hidden="false" customHeight="true" outlineLevel="0" collapsed="false">
      <c r="B10" s="8" t="s">
        <v>93</v>
      </c>
      <c r="C10" s="32" t="n">
        <v>1.5</v>
      </c>
      <c r="D10" s="33" t="n">
        <f aca="false">$C10*Assumptions!$C$23</f>
        <v>750</v>
      </c>
      <c r="E10" s="33" t="n">
        <f aca="false">$C10*Assumptions!$C$24</f>
        <v>375</v>
      </c>
      <c r="F10" s="34" t="s">
        <v>94</v>
      </c>
    </row>
    <row r="11" customFormat="false" ht="25.5" hidden="false" customHeight="true" outlineLevel="0" collapsed="false">
      <c r="B11" s="8" t="s">
        <v>95</v>
      </c>
      <c r="C11" s="32" t="n">
        <v>1</v>
      </c>
      <c r="D11" s="33" t="n">
        <f aca="false">$C11*Assumptions!$C$23</f>
        <v>500</v>
      </c>
      <c r="E11" s="33" t="n">
        <f aca="false">$C11*Assumptions!$C$24</f>
        <v>250</v>
      </c>
      <c r="F11" s="34" t="s">
        <v>96</v>
      </c>
    </row>
    <row r="12" customFormat="false" ht="25.5" hidden="false" customHeight="true" outlineLevel="0" collapsed="false">
      <c r="B12" s="8" t="s">
        <v>97</v>
      </c>
      <c r="C12" s="32" t="n">
        <v>2</v>
      </c>
      <c r="D12" s="33" t="n">
        <f aca="false">$C12*Assumptions!$C$23</f>
        <v>1000</v>
      </c>
      <c r="E12" s="33" t="n">
        <f aca="false">$C12*Assumptions!$C$24</f>
        <v>500</v>
      </c>
      <c r="F12" s="34" t="s">
        <v>98</v>
      </c>
    </row>
    <row r="13" customFormat="false" ht="25.5" hidden="false" customHeight="true" outlineLevel="0" collapsed="false">
      <c r="B13" s="8" t="s">
        <v>99</v>
      </c>
      <c r="C13" s="32" t="n">
        <v>1.5</v>
      </c>
      <c r="D13" s="33" t="n">
        <f aca="false">$C13*Assumptions!$C$23</f>
        <v>750</v>
      </c>
      <c r="E13" s="33" t="n">
        <f aca="false">$C13*Assumptions!$C$24</f>
        <v>375</v>
      </c>
      <c r="F13" s="34" t="s">
        <v>100</v>
      </c>
    </row>
    <row r="14" customFormat="false" ht="15" hidden="false" customHeight="false" outlineLevel="0" collapsed="false">
      <c r="B14" s="35" t="s">
        <v>101</v>
      </c>
      <c r="C14" s="36" t="n">
        <f aca="false">SUM(C6:C13)</f>
        <v>12.5</v>
      </c>
      <c r="D14" s="37" t="n">
        <f aca="false">SUM(D6:D13)</f>
        <v>6250</v>
      </c>
      <c r="E14" s="37" t="n">
        <f aca="false">SUM(E6:E13)</f>
        <v>3125</v>
      </c>
    </row>
    <row r="16" customFormat="false" ht="19.5" hidden="false" customHeight="true" outlineLevel="0" collapsed="false">
      <c r="A16" s="17" t="s">
        <v>102</v>
      </c>
      <c r="B16" s="31"/>
      <c r="C16" s="31"/>
      <c r="D16" s="17" t="s">
        <v>103</v>
      </c>
      <c r="E16" s="31"/>
      <c r="F16" s="17" t="s">
        <v>104</v>
      </c>
    </row>
    <row r="17" customFormat="false" ht="24" hidden="false" customHeight="true" outlineLevel="0" collapsed="false">
      <c r="B17" s="8" t="s">
        <v>105</v>
      </c>
      <c r="D17" s="38" t="n">
        <v>65</v>
      </c>
      <c r="F17" s="34" t="s">
        <v>106</v>
      </c>
    </row>
    <row r="18" customFormat="false" ht="24" hidden="false" customHeight="true" outlineLevel="0" collapsed="false">
      <c r="B18" s="8" t="s">
        <v>107</v>
      </c>
      <c r="D18" s="39" t="n">
        <v>300</v>
      </c>
      <c r="F18" s="34" t="s">
        <v>108</v>
      </c>
    </row>
    <row r="19" customFormat="false" ht="24" hidden="false" customHeight="true" outlineLevel="0" collapsed="false">
      <c r="B19" s="8" t="s">
        <v>109</v>
      </c>
      <c r="D19" s="39" t="n">
        <v>80</v>
      </c>
      <c r="F19" s="34" t="s">
        <v>110</v>
      </c>
    </row>
    <row r="20" customFormat="false" ht="24" hidden="false" customHeight="true" outlineLevel="0" collapsed="false">
      <c r="B20" s="8" t="s">
        <v>111</v>
      </c>
      <c r="D20" s="39" t="n">
        <v>55</v>
      </c>
      <c r="F20" s="34" t="s">
        <v>112</v>
      </c>
    </row>
    <row r="21" customFormat="false" ht="15" hidden="false" customHeight="false" outlineLevel="0" collapsed="false">
      <c r="B21" s="35" t="s">
        <v>113</v>
      </c>
      <c r="D21" s="37" t="n">
        <f aca="false">SUM(D17:D20)</f>
        <v>500</v>
      </c>
    </row>
    <row r="23" customFormat="false" ht="19.5" hidden="false" customHeight="true" outlineLevel="0" collapsed="false">
      <c r="A23" s="17" t="s">
        <v>114</v>
      </c>
      <c r="B23" s="31"/>
      <c r="C23" s="31"/>
      <c r="D23" s="31"/>
      <c r="E23" s="31"/>
      <c r="F23" s="31"/>
    </row>
    <row r="24" customFormat="false" ht="15" hidden="false" customHeight="false" outlineLevel="0" collapsed="false">
      <c r="B24" s="5" t="s">
        <v>115</v>
      </c>
      <c r="D24" s="40" t="n">
        <f aca="false">$D$14+$D$21</f>
        <v>6750</v>
      </c>
      <c r="F24" s="3" t="s">
        <v>116</v>
      </c>
    </row>
    <row r="25" customFormat="false" ht="25.5" hidden="false" customHeight="true" outlineLevel="0" collapsed="false">
      <c r="B25" s="8" t="s">
        <v>117</v>
      </c>
      <c r="D25" s="33" t="n">
        <f aca="false">-($D$14-$E$14)</f>
        <v>-3125</v>
      </c>
      <c r="F25" s="34" t="s">
        <v>118</v>
      </c>
    </row>
    <row r="26" customFormat="false" ht="15" hidden="false" customHeight="false" outlineLevel="0" collapsed="false">
      <c r="B26" s="41" t="s">
        <v>119</v>
      </c>
      <c r="D26" s="42" t="n">
        <f aca="false">$E$14+$D$21</f>
        <v>3625</v>
      </c>
    </row>
    <row r="28" customFormat="false" ht="15" hidden="false" customHeight="false" outlineLevel="0" collapsed="false">
      <c r="B28" s="3" t="s">
        <v>120</v>
      </c>
      <c r="D28" s="43" t="n">
        <f aca="false">$C$14*Assumptions!$C$25+$D$21</f>
        <v>2375</v>
      </c>
      <c r="F28" s="3" t="s">
        <v>121</v>
      </c>
    </row>
    <row r="30" customFormat="false" ht="19.5" hidden="false" customHeight="true" outlineLevel="0" collapsed="false">
      <c r="A30" s="17" t="s">
        <v>122</v>
      </c>
      <c r="B30" s="31"/>
      <c r="C30" s="31"/>
      <c r="D30" s="31"/>
      <c r="E30" s="31"/>
      <c r="F30" s="31"/>
    </row>
    <row r="31" customFormat="false" ht="25.5" hidden="false" customHeight="true" outlineLevel="0" collapsed="false">
      <c r="B31" s="44" t="s">
        <v>123</v>
      </c>
      <c r="C31" s="44"/>
      <c r="D31" s="44"/>
      <c r="E31" s="44"/>
      <c r="F31" s="44"/>
    </row>
    <row r="32" customFormat="false" ht="25.5" hidden="false" customHeight="true" outlineLevel="0" collapsed="false">
      <c r="B32" s="44" t="s">
        <v>124</v>
      </c>
      <c r="C32" s="44"/>
      <c r="D32" s="44"/>
      <c r="E32" s="44"/>
      <c r="F32" s="44"/>
    </row>
    <row r="33" customFormat="false" ht="25.5" hidden="false" customHeight="true" outlineLevel="0" collapsed="false">
      <c r="B33" s="44" t="s">
        <v>125</v>
      </c>
      <c r="C33" s="44"/>
      <c r="D33" s="44"/>
      <c r="E33" s="44"/>
      <c r="F33" s="44"/>
    </row>
    <row r="34" customFormat="false" ht="25.5" hidden="false" customHeight="true" outlineLevel="0" collapsed="false">
      <c r="B34" s="44" t="s">
        <v>126</v>
      </c>
      <c r="C34" s="44"/>
      <c r="D34" s="44"/>
      <c r="E34" s="44"/>
      <c r="F34" s="44"/>
    </row>
  </sheetData>
  <mergeCells count="4">
    <mergeCell ref="B31:F31"/>
    <mergeCell ref="B32:F32"/>
    <mergeCell ref="B33:F33"/>
    <mergeCell ref="B34:F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F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4"/>
    <col collapsed="false" customWidth="true" hidden="false" outlineLevel="0" max="5" min="3" style="0" width="15"/>
    <col collapsed="false" customWidth="true" hidden="false" outlineLevel="0" max="6" min="6" style="0" width="50"/>
  </cols>
  <sheetData>
    <row r="2" customFormat="false" ht="19.7" hidden="false" customHeight="false" outlineLevel="0" collapsed="false">
      <c r="B2" s="1" t="s">
        <v>127</v>
      </c>
    </row>
    <row r="3" customFormat="false" ht="15" hidden="false" customHeight="false" outlineLevel="0" collapsed="false">
      <c r="B3" s="3" t="s">
        <v>128</v>
      </c>
    </row>
    <row r="5" customFormat="false" ht="19.5" hidden="false" customHeight="true" outlineLevel="0" collapsed="false">
      <c r="A5" s="17" t="s">
        <v>129</v>
      </c>
      <c r="B5" s="31"/>
      <c r="C5" s="45" t="s">
        <v>130</v>
      </c>
      <c r="D5" s="45" t="s">
        <v>131</v>
      </c>
      <c r="E5" s="45" t="s">
        <v>132</v>
      </c>
      <c r="F5" s="45" t="s">
        <v>104</v>
      </c>
    </row>
    <row r="6" customFormat="false" ht="27.75" hidden="false" customHeight="true" outlineLevel="0" collapsed="false">
      <c r="B6" s="8" t="s">
        <v>133</v>
      </c>
      <c r="C6" s="33" t="n">
        <f aca="false">180</f>
        <v>180</v>
      </c>
      <c r="D6" s="33" t="n">
        <f aca="false">12*12*Assumptions!$C$6</f>
        <v>113.76</v>
      </c>
      <c r="E6" s="33" t="n">
        <f aca="false">24*12*Assumptions!$C$6</f>
        <v>227.52</v>
      </c>
      <c r="F6" s="34" t="s">
        <v>134</v>
      </c>
    </row>
    <row r="7" customFormat="false" ht="27.75" hidden="false" customHeight="true" outlineLevel="0" collapsed="false">
      <c r="B7" s="8" t="s">
        <v>135</v>
      </c>
      <c r="C7" s="33" t="n">
        <f aca="false">0</f>
        <v>0</v>
      </c>
      <c r="D7" s="33" t="n">
        <f aca="false">3*12*Assumptions!$C$6</f>
        <v>28.44</v>
      </c>
      <c r="E7" s="33" t="n">
        <f aca="false">3*12*Assumptions!$C$6</f>
        <v>28.44</v>
      </c>
      <c r="F7" s="34" t="s">
        <v>136</v>
      </c>
    </row>
    <row r="8" customFormat="false" ht="27.75" hidden="false" customHeight="true" outlineLevel="0" collapsed="false">
      <c r="B8" s="8" t="s">
        <v>137</v>
      </c>
      <c r="C8" s="33" t="n">
        <f aca="false">0</f>
        <v>0</v>
      </c>
      <c r="D8" s="33" t="n">
        <f aca="false">0</f>
        <v>0</v>
      </c>
      <c r="E8" s="33" t="n">
        <f aca="false">0</f>
        <v>0</v>
      </c>
      <c r="F8" s="34" t="s">
        <v>138</v>
      </c>
    </row>
    <row r="9" customFormat="false" ht="27.75" hidden="false" customHeight="true" outlineLevel="0" collapsed="false">
      <c r="B9" s="8" t="s">
        <v>139</v>
      </c>
      <c r="C9" s="46" t="n">
        <f aca="false">25</f>
        <v>25</v>
      </c>
      <c r="D9" s="46" t="n">
        <f aca="false">25</f>
        <v>25</v>
      </c>
      <c r="E9" s="46" t="n">
        <f aca="false">25</f>
        <v>25</v>
      </c>
      <c r="F9" s="34" t="s">
        <v>140</v>
      </c>
    </row>
    <row r="10" customFormat="false" ht="27.75" hidden="false" customHeight="true" outlineLevel="0" collapsed="false">
      <c r="B10" s="8" t="s">
        <v>141</v>
      </c>
      <c r="C10" s="33" t="n">
        <f aca="false">15</f>
        <v>15</v>
      </c>
      <c r="D10" s="33" t="n">
        <f aca="false">15</f>
        <v>15</v>
      </c>
      <c r="E10" s="33" t="n">
        <f aca="false">15</f>
        <v>15</v>
      </c>
      <c r="F10" s="34"/>
    </row>
    <row r="11" customFormat="false" ht="27.75" hidden="false" customHeight="true" outlineLevel="0" collapsed="false">
      <c r="B11" s="8" t="s">
        <v>142</v>
      </c>
      <c r="C11" s="46" t="n">
        <f aca="false">0</f>
        <v>0</v>
      </c>
      <c r="D11" s="46" t="n">
        <f aca="false">0</f>
        <v>0</v>
      </c>
      <c r="E11" s="46" t="n">
        <f aca="false">0</f>
        <v>0</v>
      </c>
      <c r="F11" s="34" t="s">
        <v>143</v>
      </c>
    </row>
    <row r="12" customFormat="false" ht="27.75" hidden="false" customHeight="true" outlineLevel="0" collapsed="false">
      <c r="B12" s="8" t="s">
        <v>144</v>
      </c>
      <c r="C12" s="33" t="n">
        <f aca="false">35</f>
        <v>35</v>
      </c>
      <c r="D12" s="33" t="n">
        <f aca="false">35</f>
        <v>35</v>
      </c>
      <c r="E12" s="33" t="n">
        <f aca="false">35</f>
        <v>35</v>
      </c>
      <c r="F12" s="34" t="s">
        <v>145</v>
      </c>
    </row>
    <row r="13" customFormat="false" ht="27.75" hidden="false" customHeight="true" outlineLevel="0" collapsed="false">
      <c r="B13" s="8" t="s">
        <v>146</v>
      </c>
      <c r="C13" s="33" t="n">
        <f aca="false">1</f>
        <v>1</v>
      </c>
      <c r="D13" s="33" t="n">
        <f aca="false">1</f>
        <v>1</v>
      </c>
      <c r="E13" s="33" t="n">
        <f aca="false">1</f>
        <v>1</v>
      </c>
      <c r="F13" s="34" t="s">
        <v>147</v>
      </c>
    </row>
    <row r="14" customFormat="false" ht="27.75" hidden="false" customHeight="true" outlineLevel="0" collapsed="false">
      <c r="B14" s="8" t="s">
        <v>148</v>
      </c>
      <c r="C14" s="33" t="n">
        <f aca="false">0</f>
        <v>0</v>
      </c>
      <c r="D14" s="33" t="n">
        <f aca="false">0</f>
        <v>0</v>
      </c>
      <c r="E14" s="33" t="n">
        <f aca="false">0</f>
        <v>0</v>
      </c>
      <c r="F14" s="34" t="s">
        <v>149</v>
      </c>
    </row>
    <row r="15" customFormat="false" ht="27.75" hidden="false" customHeight="true" outlineLevel="0" collapsed="false">
      <c r="B15" s="8" t="s">
        <v>150</v>
      </c>
      <c r="C15" s="33" t="n">
        <f aca="false">0</f>
        <v>0</v>
      </c>
      <c r="D15" s="33" t="n">
        <f aca="false">0</f>
        <v>0</v>
      </c>
      <c r="E15" s="33" t="n">
        <f aca="false">0</f>
        <v>0</v>
      </c>
      <c r="F15" s="34" t="s">
        <v>151</v>
      </c>
    </row>
    <row r="16" customFormat="false" ht="27.75" hidden="false" customHeight="true" outlineLevel="0" collapsed="false">
      <c r="B16" s="8" t="s">
        <v>152</v>
      </c>
      <c r="C16" s="33" t="n">
        <f aca="false">36</f>
        <v>36</v>
      </c>
      <c r="D16" s="33" t="n">
        <f aca="false">36</f>
        <v>36</v>
      </c>
      <c r="E16" s="33" t="n">
        <f aca="false">36</f>
        <v>36</v>
      </c>
      <c r="F16" s="34" t="s">
        <v>153</v>
      </c>
    </row>
    <row r="17" customFormat="false" ht="27.75" hidden="false" customHeight="true" outlineLevel="0" collapsed="false">
      <c r="B17" s="8" t="s">
        <v>154</v>
      </c>
      <c r="C17" s="33" t="n">
        <f aca="false">47</f>
        <v>47</v>
      </c>
      <c r="D17" s="33" t="n">
        <f aca="false">47</f>
        <v>47</v>
      </c>
      <c r="E17" s="33" t="n">
        <f aca="false">47</f>
        <v>47</v>
      </c>
      <c r="F17" s="34" t="s">
        <v>155</v>
      </c>
    </row>
    <row r="18" customFormat="false" ht="27.75" hidden="false" customHeight="true" outlineLevel="0" collapsed="false">
      <c r="B18" s="8" t="s">
        <v>156</v>
      </c>
      <c r="C18" s="33" t="n">
        <f aca="false">25</f>
        <v>25</v>
      </c>
      <c r="D18" s="33" t="n">
        <f aca="false">25</f>
        <v>25</v>
      </c>
      <c r="E18" s="33" t="n">
        <f aca="false">25</f>
        <v>25</v>
      </c>
      <c r="F18" s="34" t="s">
        <v>157</v>
      </c>
    </row>
    <row r="19" customFormat="false" ht="27.75" hidden="false" customHeight="true" outlineLevel="0" collapsed="false">
      <c r="B19" s="8" t="s">
        <v>158</v>
      </c>
      <c r="C19" s="33" t="n">
        <f aca="false">0</f>
        <v>0</v>
      </c>
      <c r="D19" s="33" t="n">
        <f aca="false">0</f>
        <v>0</v>
      </c>
      <c r="E19" s="33" t="n">
        <f aca="false">0</f>
        <v>0</v>
      </c>
      <c r="F19" s="34" t="s">
        <v>159</v>
      </c>
    </row>
    <row r="20" customFormat="false" ht="15" hidden="false" customHeight="false" outlineLevel="0" collapsed="false">
      <c r="B20" s="35" t="s">
        <v>160</v>
      </c>
      <c r="C20" s="37" t="n">
        <f aca="false">SUM(C6:C19)</f>
        <v>364</v>
      </c>
      <c r="D20" s="37" t="n">
        <f aca="false">SUM(D6:D19)</f>
        <v>326.2</v>
      </c>
      <c r="E20" s="37" t="n">
        <f aca="false">SUM(E6:E19)</f>
        <v>439.96</v>
      </c>
    </row>
    <row r="21" customFormat="false" ht="15" hidden="false" customHeight="false" outlineLevel="0" collapsed="false">
      <c r="B21" s="8" t="s">
        <v>161</v>
      </c>
      <c r="C21" s="33" t="n">
        <f aca="false">C20*Assumptions!$C$28</f>
        <v>36.4</v>
      </c>
      <c r="D21" s="33" t="n">
        <f aca="false">D20*Assumptions!$C$28</f>
        <v>32.62</v>
      </c>
      <c r="E21" s="33" t="n">
        <f aca="false">E20*Assumptions!$C$28</f>
        <v>43.996</v>
      </c>
      <c r="F21" s="3" t="s">
        <v>162</v>
      </c>
    </row>
    <row r="22" customFormat="false" ht="25.5" hidden="false" customHeight="true" outlineLevel="0" collapsed="false">
      <c r="B22" s="8" t="s">
        <v>163</v>
      </c>
      <c r="C22" s="47" t="n">
        <f aca="false">Income!$C$7</f>
        <v>65.3333333333333</v>
      </c>
      <c r="D22" s="47" t="n">
        <f aca="false">Income!$C$7</f>
        <v>65.3333333333333</v>
      </c>
      <c r="E22" s="47" t="n">
        <f aca="false">Income!$C$7</f>
        <v>65.3333333333333</v>
      </c>
      <c r="F22" s="34" t="s">
        <v>164</v>
      </c>
    </row>
    <row r="23" customFormat="false" ht="15" hidden="false" customHeight="false" outlineLevel="0" collapsed="false">
      <c r="B23" s="5" t="s">
        <v>165</v>
      </c>
      <c r="C23" s="40" t="n">
        <f aca="false">Assumptions!$C$22*12</f>
        <v>600</v>
      </c>
      <c r="D23" s="40" t="n">
        <f aca="false">Assumptions!$C$22*12</f>
        <v>600</v>
      </c>
      <c r="E23" s="40" t="n">
        <f aca="false">Assumptions!$C$22*12</f>
        <v>600</v>
      </c>
      <c r="F23" s="3" t="s">
        <v>166</v>
      </c>
    </row>
    <row r="24" customFormat="false" ht="15" hidden="false" customHeight="false" outlineLevel="0" collapsed="false">
      <c r="B24" s="41" t="s">
        <v>167</v>
      </c>
      <c r="C24" s="42" t="n">
        <f aca="false">C20+C21+C22+C23</f>
        <v>1065.73333333333</v>
      </c>
      <c r="D24" s="42" t="n">
        <f aca="false">D20+D21+D22+D23</f>
        <v>1024.15333333333</v>
      </c>
      <c r="E24" s="42" t="n">
        <f aca="false">E20+E21+E22+E23</f>
        <v>1149.28933333333</v>
      </c>
    </row>
    <row r="26" customFormat="false" ht="15" hidden="false" customHeight="false" outlineLevel="0" collapsed="false">
      <c r="B26" s="3" t="s">
        <v>168</v>
      </c>
      <c r="C26" s="48" t="n">
        <f aca="false">C24/12</f>
        <v>88.8111111111111</v>
      </c>
      <c r="D26" s="48" t="n">
        <f aca="false">D24/12</f>
        <v>85.3461111111111</v>
      </c>
      <c r="E26" s="48" t="n">
        <f aca="false">E24/12</f>
        <v>95.7741111111111</v>
      </c>
    </row>
    <row r="28" customFormat="false" ht="19.5" hidden="false" customHeight="true" outlineLevel="0" collapsed="false">
      <c r="A28" s="17" t="s">
        <v>169</v>
      </c>
      <c r="B28" s="31"/>
      <c r="C28" s="31"/>
      <c r="D28" s="31"/>
      <c r="E28" s="31"/>
      <c r="F28" s="31"/>
    </row>
    <row r="29" customFormat="false" ht="39.75" hidden="false" customHeight="true" outlineLevel="0" collapsed="false">
      <c r="B29" s="44" t="s">
        <v>170</v>
      </c>
      <c r="C29" s="44"/>
      <c r="D29" s="44"/>
      <c r="E29" s="44"/>
      <c r="F29" s="44"/>
    </row>
    <row r="30" customFormat="false" ht="39.75" hidden="false" customHeight="true" outlineLevel="0" collapsed="false">
      <c r="B30" s="44" t="s">
        <v>171</v>
      </c>
      <c r="C30" s="44"/>
      <c r="D30" s="44"/>
      <c r="E30" s="44"/>
      <c r="F30" s="44"/>
    </row>
    <row r="31" customFormat="false" ht="39.75" hidden="false" customHeight="true" outlineLevel="0" collapsed="false">
      <c r="B31" s="44" t="s">
        <v>172</v>
      </c>
      <c r="C31" s="44"/>
      <c r="D31" s="44"/>
      <c r="E31" s="44"/>
      <c r="F31" s="44"/>
    </row>
    <row r="32" customFormat="false" ht="39.75" hidden="false" customHeight="true" outlineLevel="0" collapsed="false">
      <c r="B32" s="44" t="s">
        <v>173</v>
      </c>
      <c r="C32" s="44"/>
      <c r="D32" s="44"/>
      <c r="E32" s="44"/>
      <c r="F32" s="44"/>
    </row>
  </sheetData>
  <mergeCells count="4">
    <mergeCell ref="B29:F29"/>
    <mergeCell ref="B30:F30"/>
    <mergeCell ref="B31:F31"/>
    <mergeCell ref="B32:F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D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3" min="3" style="0" width="15"/>
    <col collapsed="false" customWidth="true" hidden="false" outlineLevel="0" max="4" min="4" style="0" width="62"/>
  </cols>
  <sheetData>
    <row r="2" customFormat="false" ht="19.7" hidden="false" customHeight="false" outlineLevel="0" collapsed="false">
      <c r="B2" s="1" t="s">
        <v>174</v>
      </c>
    </row>
    <row r="3" customFormat="false" ht="15" hidden="false" customHeight="false" outlineLevel="0" collapsed="false">
      <c r="B3" s="3" t="s">
        <v>175</v>
      </c>
    </row>
    <row r="5" customFormat="false" ht="19.5" hidden="false" customHeight="true" outlineLevel="0" collapsed="false">
      <c r="A5" s="17" t="s">
        <v>176</v>
      </c>
      <c r="B5" s="31"/>
      <c r="C5" s="31"/>
      <c r="D5" s="31"/>
    </row>
    <row r="6" customFormat="false" ht="15" hidden="false" customHeight="false" outlineLevel="0" collapsed="false">
      <c r="B6" s="8" t="s">
        <v>177</v>
      </c>
      <c r="C6" s="49" t="n">
        <f aca="false">Assumptions!$C$16/Assumptions!$C$17</f>
        <v>26.6666666666667</v>
      </c>
      <c r="D6" s="3" t="s">
        <v>178</v>
      </c>
    </row>
    <row r="7" customFormat="false" ht="15" hidden="false" customHeight="false" outlineLevel="0" collapsed="false">
      <c r="B7" s="8" t="s">
        <v>179</v>
      </c>
      <c r="C7" s="33" t="n">
        <f aca="false">Assumptions!$C$16*Assumptions!$C$18+C6*Assumptions!$C$19</f>
        <v>65.3333333333333</v>
      </c>
      <c r="D7" s="3" t="s">
        <v>180</v>
      </c>
    </row>
    <row r="9" customFormat="false" ht="19.5" hidden="false" customHeight="true" outlineLevel="0" collapsed="false">
      <c r="A9" s="17" t="s">
        <v>181</v>
      </c>
      <c r="B9" s="31"/>
      <c r="C9" s="31"/>
      <c r="D9" s="31"/>
    </row>
    <row r="10" customFormat="false" ht="15" hidden="false" customHeight="false" outlineLevel="0" collapsed="false">
      <c r="B10" s="8" t="s">
        <v>182</v>
      </c>
      <c r="C10" s="50" t="n">
        <f aca="false">Assumptions!$C$9*Assumptions!$C$10</f>
        <v>9.9</v>
      </c>
    </row>
    <row r="11" customFormat="false" ht="15" hidden="false" customHeight="false" outlineLevel="0" collapsed="false">
      <c r="B11" s="8" t="s">
        <v>183</v>
      </c>
      <c r="C11" s="50" t="n">
        <f aca="false">Assumptions!$C$9-C10</f>
        <v>20.1</v>
      </c>
    </row>
    <row r="12" customFormat="false" ht="15" hidden="false" customHeight="false" outlineLevel="0" collapsed="false">
      <c r="B12" s="8" t="s">
        <v>184</v>
      </c>
      <c r="C12" s="33" t="n">
        <f aca="false">C10*Assumptions!$C$11</f>
        <v>594</v>
      </c>
    </row>
    <row r="13" customFormat="false" ht="15" hidden="false" customHeight="false" outlineLevel="0" collapsed="false">
      <c r="B13" s="8" t="s">
        <v>185</v>
      </c>
      <c r="C13" s="33" t="n">
        <f aca="false">C11*Assumptions!$C$12</f>
        <v>402</v>
      </c>
    </row>
    <row r="14" customFormat="false" ht="15" hidden="false" customHeight="false" outlineLevel="0" collapsed="false">
      <c r="B14" s="35" t="s">
        <v>186</v>
      </c>
      <c r="C14" s="37" t="n">
        <f aca="false">C12+C13</f>
        <v>996</v>
      </c>
      <c r="D14" s="3" t="s">
        <v>187</v>
      </c>
    </row>
    <row r="16" customFormat="false" ht="19.5" hidden="false" customHeight="true" outlineLevel="0" collapsed="false">
      <c r="A16" s="17" t="s">
        <v>188</v>
      </c>
      <c r="B16" s="31"/>
      <c r="C16" s="31"/>
      <c r="D16" s="31"/>
    </row>
    <row r="17" customFormat="false" ht="15" hidden="false" customHeight="false" outlineLevel="0" collapsed="false">
      <c r="B17" s="35" t="s">
        <v>189</v>
      </c>
      <c r="C17" s="37" t="n">
        <f aca="false">Assumptions!$C$16*Assumptions!$C$13</f>
        <v>480</v>
      </c>
      <c r="D17" s="3" t="s">
        <v>190</v>
      </c>
    </row>
    <row r="19" customFormat="false" ht="15" hidden="false" customHeight="false" outlineLevel="0" collapsed="false">
      <c r="B19" s="41" t="s">
        <v>191</v>
      </c>
      <c r="C19" s="42" t="n">
        <f aca="false">C14+C17</f>
        <v>1476</v>
      </c>
    </row>
    <row r="21" customFormat="false" ht="19.5" hidden="false" customHeight="true" outlineLevel="0" collapsed="false">
      <c r="A21" s="17" t="s">
        <v>192</v>
      </c>
      <c r="B21" s="31"/>
      <c r="C21" s="31"/>
      <c r="D21" s="31"/>
    </row>
    <row r="22" customFormat="false" ht="30" hidden="false" customHeight="true" outlineLevel="0" collapsed="false">
      <c r="B22" s="5" t="s">
        <v>193</v>
      </c>
      <c r="C22" s="51" t="n">
        <f aca="false">IFERROR($C$19/Assumptions!$C$16,0)</f>
        <v>0.369</v>
      </c>
      <c r="D22" s="34" t="s">
        <v>194</v>
      </c>
    </row>
    <row r="23" customFormat="false" ht="30" hidden="false" customHeight="true" outlineLevel="0" collapsed="false">
      <c r="B23" s="3" t="s">
        <v>195</v>
      </c>
      <c r="C23" s="52" t="n">
        <f aca="false">IFERROR($C$19/0.2,0)</f>
        <v>7380</v>
      </c>
      <c r="D23" s="34" t="s">
        <v>196</v>
      </c>
    </row>
    <row r="25" customFormat="false" ht="19.5" hidden="false" customHeight="true" outlineLevel="0" collapsed="false">
      <c r="A25" s="17" t="s">
        <v>197</v>
      </c>
      <c r="B25" s="31"/>
      <c r="C25" s="31"/>
      <c r="D25" s="31"/>
    </row>
    <row r="26" customFormat="false" ht="15" hidden="false" customHeight="false" outlineLevel="0" collapsed="false">
      <c r="B26" s="8" t="s">
        <v>198</v>
      </c>
      <c r="C26" s="47" t="n">
        <f aca="false">'Running Costs'!$C$24</f>
        <v>1065.73333333333</v>
      </c>
    </row>
    <row r="27" customFormat="false" ht="15" hidden="false" customHeight="false" outlineLevel="0" collapsed="false">
      <c r="B27" s="5" t="s">
        <v>199</v>
      </c>
      <c r="C27" s="40" t="n">
        <f aca="false">Income!$C$19-C26</f>
        <v>410.266666666667</v>
      </c>
    </row>
    <row r="28" customFormat="false" ht="15" hidden="false" customHeight="false" outlineLevel="0" collapsed="false">
      <c r="B28" s="8" t="s">
        <v>200</v>
      </c>
      <c r="C28" s="53" t="n">
        <f aca="false">IFERROR(Income!$C$19/Assumptions!$C$9,0)</f>
        <v>49.2</v>
      </c>
    </row>
    <row r="29" customFormat="false" ht="15" hidden="false" customHeight="false" outlineLevel="0" collapsed="false">
      <c r="B29" s="5" t="s">
        <v>201</v>
      </c>
      <c r="C29" s="54" t="n">
        <f aca="false">IFERROR(ROUNDUP('Running Costs'!$C$24/(C28),0),0)</f>
        <v>22</v>
      </c>
      <c r="D29" s="3" t="s">
        <v>202</v>
      </c>
    </row>
    <row r="31" customFormat="false" ht="19.5" hidden="false" customHeight="true" outlineLevel="0" collapsed="false">
      <c r="A31" s="17" t="s">
        <v>203</v>
      </c>
      <c r="B31" s="31"/>
      <c r="C31" s="31"/>
      <c r="D31" s="31"/>
    </row>
    <row r="32" customFormat="false" ht="31.5" hidden="false" customHeight="true" outlineLevel="0" collapsed="false">
      <c r="B32" s="44" t="s">
        <v>204</v>
      </c>
      <c r="C32" s="44"/>
      <c r="D32" s="44"/>
    </row>
    <row r="33" customFormat="false" ht="31.5" hidden="false" customHeight="true" outlineLevel="0" collapsed="false">
      <c r="B33" s="44" t="s">
        <v>205</v>
      </c>
      <c r="C33" s="44"/>
      <c r="D33" s="44"/>
    </row>
    <row r="34" customFormat="false" ht="31.5" hidden="false" customHeight="true" outlineLevel="0" collapsed="false">
      <c r="B34" s="44" t="s">
        <v>206</v>
      </c>
      <c r="C34" s="44"/>
      <c r="D34" s="44"/>
    </row>
  </sheetData>
  <mergeCells count="3">
    <mergeCell ref="B32:D32"/>
    <mergeCell ref="B33:D33"/>
    <mergeCell ref="B34:D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E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4" min="3" style="0" width="16"/>
    <col collapsed="false" customWidth="true" hidden="false" outlineLevel="0" max="5" min="5" style="0" width="56"/>
  </cols>
  <sheetData>
    <row r="2" customFormat="false" ht="19.7" hidden="false" customHeight="false" outlineLevel="0" collapsed="false">
      <c r="B2" s="1" t="s">
        <v>12</v>
      </c>
    </row>
    <row r="3" customFormat="false" ht="15" hidden="false" customHeight="false" outlineLevel="0" collapsed="false">
      <c r="B3" s="3" t="s">
        <v>207</v>
      </c>
    </row>
    <row r="5" customFormat="false" ht="19.5" hidden="false" customHeight="true" outlineLevel="0" collapsed="false">
      <c r="A5" s="17"/>
      <c r="B5" s="17" t="s">
        <v>208</v>
      </c>
      <c r="C5" s="17" t="s">
        <v>209</v>
      </c>
      <c r="D5" s="17" t="s">
        <v>210</v>
      </c>
      <c r="E5" s="17" t="s">
        <v>104</v>
      </c>
    </row>
    <row r="6" customFormat="false" ht="15" hidden="false" customHeight="false" outlineLevel="0" collapsed="false">
      <c r="B6" s="8" t="s">
        <v>211</v>
      </c>
      <c r="C6" s="47" t="n">
        <f aca="false">'Setup Budget'!$D$26</f>
        <v>3625</v>
      </c>
      <c r="D6" s="33" t="n">
        <v>0</v>
      </c>
      <c r="E6" s="3" t="s">
        <v>212</v>
      </c>
    </row>
    <row r="7" customFormat="false" ht="15" hidden="false" customHeight="false" outlineLevel="0" collapsed="false">
      <c r="B7" s="8" t="s">
        <v>198</v>
      </c>
      <c r="C7" s="47" t="n">
        <f aca="false">'Running Costs'!$C$24</f>
        <v>1065.73333333333</v>
      </c>
      <c r="D7" s="47" t="n">
        <f aca="false">'Running Costs'!$C$24</f>
        <v>1065.73333333333</v>
      </c>
      <c r="E7" s="3" t="s">
        <v>213</v>
      </c>
    </row>
    <row r="8" customFormat="false" ht="15" hidden="false" customHeight="false" outlineLevel="0" collapsed="false">
      <c r="B8" s="35" t="s">
        <v>214</v>
      </c>
      <c r="C8" s="37" t="n">
        <f aca="false">SUM(C6:C7)</f>
        <v>4690.73333333333</v>
      </c>
      <c r="D8" s="37" t="n">
        <f aca="false">SUM(D6:D7)</f>
        <v>1065.73333333333</v>
      </c>
    </row>
    <row r="10" customFormat="false" ht="25.5" hidden="false" customHeight="true" outlineLevel="0" collapsed="false">
      <c r="B10" s="8" t="s">
        <v>215</v>
      </c>
      <c r="C10" s="39" t="n">
        <f aca="false">C8</f>
        <v>4690.73333333333</v>
      </c>
      <c r="D10" s="39" t="n">
        <v>0</v>
      </c>
      <c r="E10" s="34" t="s">
        <v>216</v>
      </c>
    </row>
    <row r="11" customFormat="false" ht="15" hidden="false" customHeight="false" outlineLevel="0" collapsed="false">
      <c r="B11" s="8" t="s">
        <v>217</v>
      </c>
      <c r="C11" s="39" t="n">
        <v>0</v>
      </c>
      <c r="D11" s="47" t="n">
        <f aca="false">Income!$C$19</f>
        <v>1476</v>
      </c>
      <c r="E11" s="3" t="s">
        <v>218</v>
      </c>
    </row>
    <row r="12" customFormat="false" ht="15" hidden="false" customHeight="false" outlineLevel="0" collapsed="false">
      <c r="B12" s="35" t="s">
        <v>191</v>
      </c>
      <c r="C12" s="37" t="n">
        <f aca="false">SUM(C10:C11)</f>
        <v>4690.73333333333</v>
      </c>
      <c r="D12" s="37" t="n">
        <f aca="false">SUM(D10:D11)</f>
        <v>1476</v>
      </c>
    </row>
    <row r="14" customFormat="false" ht="15" hidden="false" customHeight="false" outlineLevel="0" collapsed="false">
      <c r="B14" s="41" t="s">
        <v>219</v>
      </c>
      <c r="C14" s="42" t="n">
        <f aca="false">C12-C8</f>
        <v>0</v>
      </c>
      <c r="D14" s="42" t="n">
        <f aca="false">D12-D8</f>
        <v>410.266666666667</v>
      </c>
    </row>
    <row r="16" customFormat="false" ht="19.5" hidden="false" customHeight="true" outlineLevel="0" collapsed="false">
      <c r="A16" s="17" t="s">
        <v>220</v>
      </c>
      <c r="B16" s="31"/>
      <c r="C16" s="31"/>
      <c r="D16" s="31"/>
      <c r="E16" s="31"/>
    </row>
    <row r="17" customFormat="false" ht="15" hidden="false" customHeight="false" outlineLevel="0" collapsed="false">
      <c r="B17" s="8" t="s">
        <v>221</v>
      </c>
      <c r="C17" s="47" t="n">
        <f aca="false">'Setup Budget'!$D$26</f>
        <v>3625</v>
      </c>
      <c r="D17" s="33" t="n">
        <v>0</v>
      </c>
    </row>
    <row r="18" customFormat="false" ht="30" hidden="false" customHeight="true" outlineLevel="0" collapsed="false">
      <c r="B18" s="8" t="s">
        <v>222</v>
      </c>
      <c r="C18" s="33" t="n">
        <f aca="false">Assumptions!$C$22*12</f>
        <v>600</v>
      </c>
      <c r="D18" s="33" t="n">
        <f aca="false">Assumptions!$C$22*12</f>
        <v>600</v>
      </c>
      <c r="E18" s="34" t="s">
        <v>223</v>
      </c>
    </row>
    <row r="19" customFormat="false" ht="15" hidden="false" customHeight="false" outlineLevel="0" collapsed="false">
      <c r="B19" s="35" t="s">
        <v>224</v>
      </c>
      <c r="C19" s="37" t="n">
        <f aca="false">SUM(C17:C18)</f>
        <v>4225</v>
      </c>
      <c r="D19" s="37" t="n">
        <f aca="false">SUM(D17:D18)</f>
        <v>600</v>
      </c>
    </row>
    <row r="20" customFormat="false" ht="15" hidden="false" customHeight="false" outlineLevel="0" collapsed="false">
      <c r="B20" s="3" t="s">
        <v>225</v>
      </c>
      <c r="C20" s="52" t="n">
        <f aca="false">'Setup Budget'!$D$24-'Setup Budget'!$D$26</f>
        <v>3125</v>
      </c>
      <c r="E20" s="3" t="s">
        <v>226</v>
      </c>
    </row>
    <row r="22" customFormat="false" ht="19.5" hidden="false" customHeight="true" outlineLevel="0" collapsed="false">
      <c r="A22" s="17" t="s">
        <v>227</v>
      </c>
      <c r="B22" s="31"/>
      <c r="C22" s="55" t="s">
        <v>228</v>
      </c>
      <c r="D22" s="55" t="s">
        <v>229</v>
      </c>
      <c r="E22" s="56" t="s">
        <v>104</v>
      </c>
    </row>
    <row r="23" customFormat="false" ht="15" hidden="false" customHeight="false" outlineLevel="0" collapsed="false">
      <c r="B23" s="8" t="s">
        <v>230</v>
      </c>
      <c r="C23" s="57" t="n">
        <v>0.095</v>
      </c>
      <c r="D23" s="58" t="n">
        <f aca="false">Assumptions!$C$13</f>
        <v>0.12</v>
      </c>
      <c r="E23" s="3" t="s">
        <v>231</v>
      </c>
    </row>
    <row r="24" customFormat="false" ht="15" hidden="false" customHeight="false" outlineLevel="0" collapsed="false">
      <c r="B24" s="8" t="s">
        <v>232</v>
      </c>
      <c r="C24" s="33" t="n">
        <f aca="false">Assumptions!$C$16*$C$23</f>
        <v>380</v>
      </c>
      <c r="D24" s="33" t="n">
        <f aca="false">Assumptions!$C$16*Assumptions!$C$13</f>
        <v>480</v>
      </c>
    </row>
    <row r="25" customFormat="false" ht="25.5" hidden="false" customHeight="true" outlineLevel="0" collapsed="false">
      <c r="B25" s="8" t="s">
        <v>233</v>
      </c>
      <c r="C25" s="47" t="n">
        <f aca="false">Income!$C$14</f>
        <v>996</v>
      </c>
      <c r="D25" s="47" t="n">
        <f aca="false">Income!$C$14</f>
        <v>996</v>
      </c>
      <c r="E25" s="34" t="s">
        <v>234</v>
      </c>
    </row>
    <row r="26" customFormat="false" ht="15" hidden="false" customHeight="false" outlineLevel="0" collapsed="false">
      <c r="B26" s="35" t="s">
        <v>235</v>
      </c>
      <c r="C26" s="37" t="n">
        <f aca="false">SUM(C24:C25)</f>
        <v>1376</v>
      </c>
      <c r="D26" s="37" t="n">
        <f aca="false">SUM(D24:D25)</f>
        <v>1476</v>
      </c>
    </row>
    <row r="27" customFormat="false" ht="15" hidden="false" customHeight="false" outlineLevel="0" collapsed="false">
      <c r="B27" s="8" t="s">
        <v>236</v>
      </c>
      <c r="C27" s="33" t="n">
        <f aca="false">149*Assumptions!$C$6*(1+Assumptions!$C$28)</f>
        <v>129.481</v>
      </c>
      <c r="D27" s="33" t="n">
        <v>0</v>
      </c>
      <c r="E27" s="3" t="s">
        <v>237</v>
      </c>
    </row>
    <row r="28" customFormat="false" ht="15" hidden="false" customHeight="false" outlineLevel="0" collapsed="false">
      <c r="B28" s="8" t="s">
        <v>238</v>
      </c>
      <c r="C28" s="47" t="n">
        <f aca="false">'Running Costs'!$C$24</f>
        <v>1065.73333333333</v>
      </c>
      <c r="D28" s="47" t="n">
        <f aca="false">'Running Costs'!$C$24</f>
        <v>1065.73333333333</v>
      </c>
    </row>
    <row r="29" customFormat="false" ht="15" hidden="false" customHeight="false" outlineLevel="0" collapsed="false">
      <c r="B29" s="35" t="s">
        <v>239</v>
      </c>
      <c r="C29" s="37" t="n">
        <f aca="false">SUM(C27:C28)</f>
        <v>1195.21433333333</v>
      </c>
      <c r="D29" s="37" t="n">
        <f aca="false">SUM(D27:D28)</f>
        <v>1065.73333333333</v>
      </c>
    </row>
    <row r="30" customFormat="false" ht="15" hidden="false" customHeight="false" outlineLevel="0" collapsed="false">
      <c r="B30" s="41" t="s">
        <v>240</v>
      </c>
      <c r="C30" s="42" t="n">
        <f aca="false">C26-C29</f>
        <v>180.785666666667</v>
      </c>
      <c r="D30" s="42" t="n">
        <f aca="false">D26-D29</f>
        <v>410.266666666667</v>
      </c>
    </row>
    <row r="31" customFormat="false" ht="25.5" hidden="false" customHeight="true" outlineLevel="0" collapsed="false">
      <c r="B31" s="5" t="s">
        <v>241</v>
      </c>
      <c r="D31" s="59" t="n">
        <f aca="false">D30-C30</f>
        <v>229.481</v>
      </c>
      <c r="E31" s="34" t="s">
        <v>242</v>
      </c>
    </row>
    <row r="33" customFormat="false" ht="19.5" hidden="false" customHeight="true" outlineLevel="0" collapsed="false">
      <c r="A33" s="17" t="s">
        <v>243</v>
      </c>
      <c r="B33" s="31"/>
      <c r="C33" s="55" t="s">
        <v>235</v>
      </c>
      <c r="D33" s="55" t="s">
        <v>244</v>
      </c>
      <c r="E33" s="56" t="s">
        <v>245</v>
      </c>
    </row>
    <row r="34" customFormat="false" ht="15" hidden="false" customHeight="false" outlineLevel="0" collapsed="false">
      <c r="B34" s="60" t="n">
        <v>0.08</v>
      </c>
      <c r="C34" s="33" t="n">
        <f aca="false">Income!$C$14+Assumptions!$C$16*$B34</f>
        <v>1316</v>
      </c>
      <c r="D34" s="33" t="n">
        <f aca="false">C34-D29</f>
        <v>250.266666666667</v>
      </c>
      <c r="E34" s="61" t="n">
        <f aca="false">IFERROR(C34/Assumptions!$C$16,0)</f>
        <v>0.329</v>
      </c>
    </row>
    <row r="35" customFormat="false" ht="15" hidden="false" customHeight="false" outlineLevel="0" collapsed="false">
      <c r="B35" s="60" t="n">
        <v>0.1</v>
      </c>
      <c r="C35" s="33" t="n">
        <f aca="false">Income!$C$14+Assumptions!$C$16*$B35</f>
        <v>1396</v>
      </c>
      <c r="D35" s="33" t="n">
        <f aca="false">C35-D29</f>
        <v>330.266666666667</v>
      </c>
      <c r="E35" s="61" t="n">
        <f aca="false">IFERROR(C35/Assumptions!$C$16,0)</f>
        <v>0.349</v>
      </c>
    </row>
    <row r="36" customFormat="false" ht="15" hidden="false" customHeight="false" outlineLevel="0" collapsed="false">
      <c r="B36" s="62" t="n">
        <v>0.12</v>
      </c>
      <c r="C36" s="63" t="n">
        <f aca="false">Income!$C$14+Assumptions!$C$16*$B36</f>
        <v>1476</v>
      </c>
      <c r="D36" s="63" t="n">
        <f aca="false">C36-D29</f>
        <v>410.266666666667</v>
      </c>
      <c r="E36" s="64" t="n">
        <f aca="false">IFERROR(C36/Assumptions!$C$16,0)</f>
        <v>0.369</v>
      </c>
    </row>
    <row r="37" customFormat="false" ht="15" hidden="false" customHeight="false" outlineLevel="0" collapsed="false">
      <c r="B37" s="60" t="n">
        <v>0.15</v>
      </c>
      <c r="C37" s="33" t="n">
        <f aca="false">Income!$C$14+Assumptions!$C$16*$B37</f>
        <v>1596</v>
      </c>
      <c r="D37" s="33" t="n">
        <f aca="false">C37-D29</f>
        <v>530.266666666667</v>
      </c>
      <c r="E37" s="61" t="n">
        <f aca="false">IFERROR(C37/Assumptions!$C$16,0)</f>
        <v>0.399</v>
      </c>
    </row>
    <row r="38" customFormat="false" ht="43.5" hidden="false" customHeight="true" outlineLevel="0" collapsed="false">
      <c r="B38" s="65" t="s">
        <v>246</v>
      </c>
      <c r="C38" s="65"/>
      <c r="D38" s="65"/>
      <c r="E38" s="65"/>
    </row>
    <row r="40" customFormat="false" ht="19.5" hidden="false" customHeight="true" outlineLevel="0" collapsed="false">
      <c r="A40" s="17" t="s">
        <v>247</v>
      </c>
      <c r="B40" s="31"/>
      <c r="C40" s="31"/>
      <c r="D40" s="31"/>
      <c r="E40" s="31"/>
    </row>
    <row r="41" customFormat="false" ht="43.5" hidden="false" customHeight="true" outlineLevel="0" collapsed="false">
      <c r="B41" s="44" t="s">
        <v>248</v>
      </c>
      <c r="C41" s="44"/>
      <c r="D41" s="44"/>
      <c r="E41" s="44"/>
    </row>
    <row r="42" customFormat="false" ht="43.5" hidden="false" customHeight="true" outlineLevel="0" collapsed="false">
      <c r="B42" s="44" t="s">
        <v>249</v>
      </c>
      <c r="C42" s="44"/>
      <c r="D42" s="44"/>
      <c r="E42" s="44"/>
    </row>
    <row r="43" customFormat="false" ht="43.5" hidden="false" customHeight="true" outlineLevel="0" collapsed="false">
      <c r="B43" s="44" t="s">
        <v>250</v>
      </c>
      <c r="C43" s="44"/>
      <c r="D43" s="44"/>
      <c r="E43" s="44"/>
    </row>
    <row r="44" customFormat="false" ht="43.5" hidden="false" customHeight="true" outlineLevel="0" collapsed="false">
      <c r="B44" s="44" t="s">
        <v>251</v>
      </c>
      <c r="C44" s="44"/>
      <c r="D44" s="44"/>
      <c r="E44" s="44"/>
    </row>
  </sheetData>
  <mergeCells count="5">
    <mergeCell ref="B38:E38"/>
    <mergeCell ref="B41:E41"/>
    <mergeCell ref="B42:E42"/>
    <mergeCell ref="B43:E43"/>
    <mergeCell ref="B44:E4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E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3" min="3" style="0" width="26"/>
    <col collapsed="false" customWidth="true" hidden="false" outlineLevel="0" max="4" min="4" style="0" width="13"/>
    <col collapsed="false" customWidth="true" hidden="false" outlineLevel="0" max="5" min="5" style="0" width="62"/>
  </cols>
  <sheetData>
    <row r="2" customFormat="false" ht="19.7" hidden="false" customHeight="false" outlineLevel="0" collapsed="false">
      <c r="B2" s="1" t="s">
        <v>252</v>
      </c>
    </row>
    <row r="3" customFormat="false" ht="15" hidden="false" customHeight="false" outlineLevel="0" collapsed="false">
      <c r="B3" s="3" t="s">
        <v>253</v>
      </c>
    </row>
    <row r="5" customFormat="false" ht="19.5" hidden="false" customHeight="true" outlineLevel="0" collapsed="false">
      <c r="A5" s="17" t="s">
        <v>254</v>
      </c>
      <c r="B5" s="31"/>
      <c r="C5" s="17" t="s">
        <v>255</v>
      </c>
      <c r="D5" s="17" t="s">
        <v>256</v>
      </c>
      <c r="E5" s="17" t="s">
        <v>257</v>
      </c>
    </row>
    <row r="6" customFormat="false" ht="27.75" hidden="false" customHeight="true" outlineLevel="0" collapsed="false">
      <c r="B6" s="8" t="s">
        <v>258</v>
      </c>
      <c r="C6" s="8" t="s">
        <v>259</v>
      </c>
      <c r="D6" s="66" t="n">
        <v>0</v>
      </c>
      <c r="E6" s="34" t="s">
        <v>260</v>
      </c>
    </row>
    <row r="7" customFormat="false" ht="27.75" hidden="false" customHeight="true" outlineLevel="0" collapsed="false">
      <c r="B7" s="8" t="s">
        <v>261</v>
      </c>
      <c r="C7" s="8" t="s">
        <v>262</v>
      </c>
      <c r="D7" s="66" t="n">
        <v>0</v>
      </c>
      <c r="E7" s="34" t="s">
        <v>263</v>
      </c>
    </row>
    <row r="8" customFormat="false" ht="27.75" hidden="false" customHeight="true" outlineLevel="0" collapsed="false">
      <c r="B8" s="8" t="s">
        <v>264</v>
      </c>
      <c r="C8" s="8" t="s">
        <v>265</v>
      </c>
      <c r="D8" s="66" t="n">
        <v>0</v>
      </c>
      <c r="E8" s="34" t="s">
        <v>266</v>
      </c>
    </row>
    <row r="9" customFormat="false" ht="27.75" hidden="false" customHeight="true" outlineLevel="0" collapsed="false">
      <c r="B9" s="8" t="s">
        <v>267</v>
      </c>
      <c r="C9" s="8" t="s">
        <v>268</v>
      </c>
      <c r="D9" s="67" t="s">
        <v>269</v>
      </c>
      <c r="E9" s="34" t="s">
        <v>270</v>
      </c>
    </row>
    <row r="10" customFormat="false" ht="27.75" hidden="false" customHeight="true" outlineLevel="0" collapsed="false">
      <c r="B10" s="8" t="s">
        <v>271</v>
      </c>
      <c r="C10" s="8" t="s">
        <v>272</v>
      </c>
      <c r="D10" s="66" t="n">
        <v>0</v>
      </c>
      <c r="E10" s="34" t="s">
        <v>273</v>
      </c>
    </row>
    <row r="11" customFormat="false" ht="27.75" hidden="false" customHeight="true" outlineLevel="0" collapsed="false">
      <c r="B11" s="8" t="s">
        <v>274</v>
      </c>
      <c r="C11" s="8" t="s">
        <v>275</v>
      </c>
      <c r="D11" s="66" t="n">
        <v>118</v>
      </c>
      <c r="E11" s="34" t="s">
        <v>276</v>
      </c>
    </row>
    <row r="13" customFormat="false" ht="19.5" hidden="false" customHeight="true" outlineLevel="0" collapsed="false">
      <c r="A13" s="17" t="s">
        <v>277</v>
      </c>
      <c r="B13" s="31"/>
      <c r="C13" s="17" t="s">
        <v>255</v>
      </c>
      <c r="D13" s="17" t="s">
        <v>256</v>
      </c>
      <c r="E13" s="17" t="s">
        <v>257</v>
      </c>
    </row>
    <row r="14" customFormat="false" ht="27.75" hidden="false" customHeight="true" outlineLevel="0" collapsed="false">
      <c r="B14" s="8" t="s">
        <v>278</v>
      </c>
      <c r="C14" s="8" t="s">
        <v>279</v>
      </c>
      <c r="D14" s="66" t="n">
        <v>0</v>
      </c>
      <c r="E14" s="34" t="s">
        <v>280</v>
      </c>
    </row>
    <row r="15" customFormat="false" ht="27.75" hidden="false" customHeight="true" outlineLevel="0" collapsed="false">
      <c r="B15" s="8" t="s">
        <v>281</v>
      </c>
      <c r="C15" s="8" t="s">
        <v>282</v>
      </c>
      <c r="D15" s="67" t="s">
        <v>269</v>
      </c>
      <c r="E15" s="34" t="s">
        <v>283</v>
      </c>
    </row>
    <row r="16" customFormat="false" ht="27.75" hidden="false" customHeight="true" outlineLevel="0" collapsed="false">
      <c r="B16" s="8" t="s">
        <v>284</v>
      </c>
      <c r="C16" s="8" t="s">
        <v>285</v>
      </c>
      <c r="D16" s="66" t="n">
        <v>0</v>
      </c>
      <c r="E16" s="34" t="s">
        <v>286</v>
      </c>
    </row>
    <row r="18" customFormat="false" ht="19.5" hidden="false" customHeight="true" outlineLevel="0" collapsed="false">
      <c r="A18" s="17" t="s">
        <v>287</v>
      </c>
      <c r="B18" s="31"/>
      <c r="C18" s="17" t="s">
        <v>255</v>
      </c>
      <c r="D18" s="17" t="s">
        <v>256</v>
      </c>
      <c r="E18" s="17" t="s">
        <v>257</v>
      </c>
    </row>
    <row r="19" customFormat="false" ht="27.75" hidden="false" customHeight="true" outlineLevel="0" collapsed="false">
      <c r="B19" s="8" t="s">
        <v>288</v>
      </c>
      <c r="C19" s="8" t="s">
        <v>289</v>
      </c>
      <c r="D19" s="66" t="n">
        <v>1</v>
      </c>
      <c r="E19" s="34" t="s">
        <v>290</v>
      </c>
    </row>
    <row r="20" customFormat="false" ht="27.75" hidden="false" customHeight="true" outlineLevel="0" collapsed="false">
      <c r="B20" s="8" t="s">
        <v>291</v>
      </c>
      <c r="C20" s="8" t="s">
        <v>292</v>
      </c>
      <c r="D20" s="66" t="n">
        <v>0</v>
      </c>
      <c r="E20" s="34" t="s">
        <v>293</v>
      </c>
    </row>
    <row r="21" customFormat="false" ht="27.75" hidden="false" customHeight="true" outlineLevel="0" collapsed="false">
      <c r="B21" s="8" t="s">
        <v>294</v>
      </c>
      <c r="C21" s="8" t="s">
        <v>295</v>
      </c>
      <c r="D21" s="66" t="n">
        <v>36</v>
      </c>
      <c r="E21" s="34" t="s">
        <v>296</v>
      </c>
    </row>
    <row r="22" customFormat="false" ht="27.75" hidden="false" customHeight="true" outlineLevel="0" collapsed="false">
      <c r="B22" s="8" t="s">
        <v>297</v>
      </c>
      <c r="C22" s="8" t="s">
        <v>298</v>
      </c>
      <c r="D22" s="67" t="s">
        <v>269</v>
      </c>
      <c r="E22" s="34" t="s">
        <v>299</v>
      </c>
    </row>
    <row r="24" customFormat="false" ht="19.5" hidden="false" customHeight="true" outlineLevel="0" collapsed="false">
      <c r="A24" s="17" t="s">
        <v>300</v>
      </c>
      <c r="B24" s="31"/>
      <c r="C24" s="17" t="s">
        <v>255</v>
      </c>
      <c r="D24" s="17" t="s">
        <v>256</v>
      </c>
      <c r="E24" s="17" t="s">
        <v>257</v>
      </c>
    </row>
    <row r="25" customFormat="false" ht="27.75" hidden="false" customHeight="true" outlineLevel="0" collapsed="false">
      <c r="B25" s="8" t="s">
        <v>301</v>
      </c>
      <c r="C25" s="8" t="s">
        <v>302</v>
      </c>
      <c r="D25" s="66" t="n">
        <v>0</v>
      </c>
      <c r="E25" s="34" t="s">
        <v>303</v>
      </c>
    </row>
    <row r="26" customFormat="false" ht="27.75" hidden="false" customHeight="true" outlineLevel="0" collapsed="false">
      <c r="B26" s="8" t="s">
        <v>304</v>
      </c>
      <c r="C26" s="8" t="s">
        <v>305</v>
      </c>
      <c r="D26" s="66" t="n">
        <v>0</v>
      </c>
      <c r="E26" s="34" t="s">
        <v>306</v>
      </c>
    </row>
    <row r="27" customFormat="false" ht="27.75" hidden="false" customHeight="true" outlineLevel="0" collapsed="false">
      <c r="B27" s="8" t="s">
        <v>307</v>
      </c>
      <c r="C27" s="8" t="s">
        <v>308</v>
      </c>
      <c r="D27" s="66" t="n">
        <v>0</v>
      </c>
      <c r="E27" s="34" t="s">
        <v>309</v>
      </c>
    </row>
    <row r="28" customFormat="false" ht="27.75" hidden="false" customHeight="true" outlineLevel="0" collapsed="false">
      <c r="B28" s="8" t="s">
        <v>310</v>
      </c>
      <c r="C28" s="8" t="s">
        <v>311</v>
      </c>
      <c r="D28" s="66" t="n">
        <v>35</v>
      </c>
      <c r="E28" s="34" t="s">
        <v>312</v>
      </c>
    </row>
    <row r="29" customFormat="false" ht="27.75" hidden="false" customHeight="true" outlineLevel="0" collapsed="false">
      <c r="B29" s="8" t="s">
        <v>313</v>
      </c>
      <c r="C29" s="8" t="s">
        <v>314</v>
      </c>
      <c r="D29" s="66" t="n">
        <v>0</v>
      </c>
      <c r="E29" s="34" t="s">
        <v>315</v>
      </c>
    </row>
    <row r="30" customFormat="false" ht="27.75" hidden="false" customHeight="true" outlineLevel="0" collapsed="false">
      <c r="B30" s="8" t="s">
        <v>316</v>
      </c>
      <c r="C30" s="8" t="s">
        <v>317</v>
      </c>
      <c r="D30" s="66" t="n">
        <v>0</v>
      </c>
      <c r="E30" s="34" t="s">
        <v>318</v>
      </c>
    </row>
    <row r="31" customFormat="false" ht="27.75" hidden="false" customHeight="true" outlineLevel="0" collapsed="false">
      <c r="B31" s="8" t="s">
        <v>319</v>
      </c>
      <c r="C31" s="8" t="s">
        <v>320</v>
      </c>
      <c r="D31" s="66" t="n">
        <v>0</v>
      </c>
      <c r="E31" s="34" t="s">
        <v>321</v>
      </c>
    </row>
    <row r="32" customFormat="false" ht="27.75" hidden="false" customHeight="true" outlineLevel="0" collapsed="false">
      <c r="B32" s="8" t="s">
        <v>322</v>
      </c>
      <c r="C32" s="8" t="s">
        <v>323</v>
      </c>
      <c r="D32" s="66" t="n">
        <v>0</v>
      </c>
      <c r="E32" s="34" t="s">
        <v>324</v>
      </c>
    </row>
    <row r="33" customFormat="false" ht="27.75" hidden="false" customHeight="true" outlineLevel="0" collapsed="false">
      <c r="B33" s="8" t="s">
        <v>325</v>
      </c>
      <c r="C33" s="8" t="s">
        <v>326</v>
      </c>
      <c r="D33" s="66" t="n">
        <v>25</v>
      </c>
      <c r="E33" s="34" t="s">
        <v>327</v>
      </c>
    </row>
    <row r="34" customFormat="false" ht="27.75" hidden="false" customHeight="true" outlineLevel="0" collapsed="false">
      <c r="B34" s="8" t="s">
        <v>328</v>
      </c>
      <c r="C34" s="8" t="s">
        <v>329</v>
      </c>
      <c r="D34" s="66" t="n">
        <v>0</v>
      </c>
      <c r="E34" s="34" t="s">
        <v>330</v>
      </c>
    </row>
    <row r="35" customFormat="false" ht="27.75" hidden="false" customHeight="true" outlineLevel="0" collapsed="false">
      <c r="B35" s="8" t="s">
        <v>331</v>
      </c>
      <c r="C35" s="8" t="s">
        <v>332</v>
      </c>
      <c r="D35" s="66" t="n">
        <v>0</v>
      </c>
      <c r="E35" s="34" t="s">
        <v>333</v>
      </c>
    </row>
    <row r="37" customFormat="false" ht="19.5" hidden="false" customHeight="true" outlineLevel="0" collapsed="false">
      <c r="A37" s="17" t="s">
        <v>334</v>
      </c>
      <c r="B37" s="31"/>
      <c r="C37" s="17" t="s">
        <v>255</v>
      </c>
      <c r="D37" s="17" t="s">
        <v>256</v>
      </c>
      <c r="E37" s="17" t="s">
        <v>257</v>
      </c>
    </row>
    <row r="38" customFormat="false" ht="27.75" hidden="false" customHeight="true" outlineLevel="0" collapsed="false">
      <c r="B38" s="8" t="s">
        <v>335</v>
      </c>
      <c r="C38" s="8" t="s">
        <v>336</v>
      </c>
      <c r="D38" s="66" t="n">
        <v>0</v>
      </c>
      <c r="E38" s="34" t="s">
        <v>337</v>
      </c>
    </row>
    <row r="39" customFormat="false" ht="27.75" hidden="false" customHeight="true" outlineLevel="0" collapsed="false">
      <c r="B39" s="8" t="s">
        <v>338</v>
      </c>
      <c r="C39" s="8" t="s">
        <v>336</v>
      </c>
      <c r="D39" s="66" t="n">
        <v>0</v>
      </c>
      <c r="E39" s="34" t="s">
        <v>339</v>
      </c>
    </row>
    <row r="40" customFormat="false" ht="27.75" hidden="false" customHeight="true" outlineLevel="0" collapsed="false">
      <c r="B40" s="8" t="s">
        <v>340</v>
      </c>
      <c r="C40" s="8" t="s">
        <v>336</v>
      </c>
      <c r="D40" s="66" t="n">
        <v>0</v>
      </c>
      <c r="E40" s="34" t="s">
        <v>341</v>
      </c>
    </row>
    <row r="41" customFormat="false" ht="27.75" hidden="false" customHeight="true" outlineLevel="0" collapsed="false">
      <c r="B41" s="8" t="s">
        <v>342</v>
      </c>
      <c r="C41" s="8" t="s">
        <v>336</v>
      </c>
      <c r="D41" s="66" t="n">
        <v>0</v>
      </c>
      <c r="E41" s="34" t="s">
        <v>343</v>
      </c>
    </row>
    <row r="42" customFormat="false" ht="27.75" hidden="false" customHeight="true" outlineLevel="0" collapsed="false">
      <c r="B42" s="8" t="s">
        <v>344</v>
      </c>
      <c r="C42" s="8" t="s">
        <v>345</v>
      </c>
      <c r="D42" s="66" t="n">
        <v>0</v>
      </c>
      <c r="E42" s="34" t="s">
        <v>346</v>
      </c>
    </row>
    <row r="43" customFormat="false" ht="27.75" hidden="false" customHeight="true" outlineLevel="0" collapsed="false">
      <c r="B43" s="8" t="s">
        <v>347</v>
      </c>
      <c r="C43" s="8" t="s">
        <v>348</v>
      </c>
      <c r="D43" s="66" t="n">
        <v>0</v>
      </c>
      <c r="E43" s="34" t="s">
        <v>349</v>
      </c>
    </row>
    <row r="45" customFormat="false" ht="19.5" hidden="false" customHeight="true" outlineLevel="0" collapsed="false">
      <c r="A45" s="17" t="s">
        <v>350</v>
      </c>
      <c r="B45" s="31"/>
      <c r="C45" s="17" t="s">
        <v>255</v>
      </c>
      <c r="D45" s="17" t="s">
        <v>256</v>
      </c>
      <c r="E45" s="17" t="s">
        <v>257</v>
      </c>
    </row>
    <row r="46" customFormat="false" ht="27.75" hidden="false" customHeight="true" outlineLevel="0" collapsed="false">
      <c r="B46" s="8" t="s">
        <v>351</v>
      </c>
      <c r="C46" s="8" t="s">
        <v>352</v>
      </c>
      <c r="D46" s="67" t="s">
        <v>353</v>
      </c>
      <c r="E46" s="34" t="s">
        <v>354</v>
      </c>
    </row>
    <row r="47" customFormat="false" ht="27.75" hidden="false" customHeight="true" outlineLevel="0" collapsed="false">
      <c r="B47" s="8" t="s">
        <v>355</v>
      </c>
      <c r="C47" s="8" t="s">
        <v>352</v>
      </c>
      <c r="D47" s="67" t="s">
        <v>353</v>
      </c>
      <c r="E47" s="34" t="s">
        <v>356</v>
      </c>
    </row>
    <row r="48" customFormat="false" ht="27.75" hidden="false" customHeight="true" outlineLevel="0" collapsed="false">
      <c r="B48" s="8" t="s">
        <v>357</v>
      </c>
      <c r="C48" s="8" t="s">
        <v>358</v>
      </c>
      <c r="D48" s="67" t="s">
        <v>353</v>
      </c>
      <c r="E48" s="34" t="s">
        <v>359</v>
      </c>
    </row>
    <row r="49" customFormat="false" ht="27.75" hidden="false" customHeight="true" outlineLevel="0" collapsed="false">
      <c r="B49" s="8" t="s">
        <v>360</v>
      </c>
      <c r="C49" s="8" t="s">
        <v>361</v>
      </c>
      <c r="D49" s="67" t="s">
        <v>353</v>
      </c>
      <c r="E49" s="34" t="s">
        <v>362</v>
      </c>
    </row>
    <row r="50" customFormat="false" ht="27.75" hidden="false" customHeight="true" outlineLevel="0" collapsed="false">
      <c r="B50" s="8" t="s">
        <v>363</v>
      </c>
      <c r="C50" s="8" t="s">
        <v>352</v>
      </c>
      <c r="D50" s="67" t="s">
        <v>353</v>
      </c>
      <c r="E50" s="34" t="s">
        <v>364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2026-09-04T20:08:28Z</dcterms:created>
  <dc:creator>openpyxl</dc:creator>
  <dc:description/>
  <dc:language>en-US</dc:language>
  <cp:lastModifiedBy/>
  <dcterms:modified xsi:type="dcterms:W3CDTF">2026-09-04T20:08:28Z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